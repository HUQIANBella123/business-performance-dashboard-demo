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43" formatCode="_(* #,##0.00_);_(* \(#,##0.00\);_(* &quot;-&quot;??_);_(@_)"/>
    <numFmt numFmtId="56" formatCode="&quot;上午/下午 &quot;hh&quot;時&quot;mm&quot;分&quot;ss&quot;秒 &quot;"/>
    <numFmt numFmtId="164" formatCode="_(* #,##0_);_(* \(#,##0\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workbookViewId="0" rightToLeft="0"/>
  </sheetViews>
  <sheetData>
    <row r="1">
      <c r="B1" t="str">
        <v>YTD</v>
      </c>
      <c r="C1" t="str">
        <v>2026-01</v>
      </c>
      <c r="D1" t="str">
        <v>2026-02</v>
      </c>
      <c r="E1" t="str">
        <v>2026-03</v>
      </c>
      <c r="F1" t="str">
        <v>2026-04</v>
      </c>
      <c r="G1" t="str">
        <v>2026-05</v>
      </c>
      <c r="H1" t="str">
        <v>2026-06</v>
      </c>
      <c r="I1" t="str">
        <v>2026-07</v>
      </c>
      <c r="J1" t="str">
        <v>2026-08</v>
      </c>
      <c r="K1" t="str">
        <v>2026-09</v>
      </c>
      <c r="L1" t="str">
        <v>2026-10</v>
      </c>
      <c r="M1" t="str">
        <v>2026-11</v>
      </c>
      <c r="N1" t="str">
        <v>2026-12</v>
      </c>
    </row>
    <row r="2">
      <c r="A2" t="str">
        <v>验车量</v>
      </c>
      <c r="B2">
        <v>10400</v>
      </c>
      <c r="C2">
        <v>153</v>
      </c>
      <c r="D2">
        <v>166</v>
      </c>
      <c r="E2">
        <v>179</v>
      </c>
      <c r="F2">
        <v>192</v>
      </c>
      <c r="G2">
        <v>108</v>
      </c>
      <c r="H2">
        <v>121</v>
      </c>
      <c r="I2">
        <v>134</v>
      </c>
      <c r="J2">
        <v>147</v>
      </c>
      <c r="K2">
        <v>160</v>
      </c>
    </row>
    <row r="3">
      <c r="A3" t="str">
        <v>咨询量</v>
      </c>
      <c r="B3">
        <v>10570</v>
      </c>
      <c r="C3">
        <v>170</v>
      </c>
      <c r="D3">
        <v>183</v>
      </c>
      <c r="E3">
        <v>196</v>
      </c>
      <c r="F3">
        <v>112</v>
      </c>
      <c r="G3">
        <v>125</v>
      </c>
      <c r="H3">
        <v>138</v>
      </c>
      <c r="I3">
        <v>151</v>
      </c>
      <c r="J3">
        <v>164</v>
      </c>
      <c r="K3">
        <v>177</v>
      </c>
    </row>
    <row r="4">
      <c r="A4" t="str">
        <v>一站式应续保</v>
      </c>
      <c r="B4">
        <v>174</v>
      </c>
      <c r="C4">
        <v>187</v>
      </c>
      <c r="D4">
        <v>103</v>
      </c>
      <c r="E4">
        <v>116</v>
      </c>
      <c r="F4">
        <v>129</v>
      </c>
      <c r="G4">
        <v>142</v>
      </c>
      <c r="H4">
        <v>155</v>
      </c>
      <c r="I4">
        <v>168</v>
      </c>
      <c r="J4">
        <v>181</v>
      </c>
      <c r="K4">
        <v>194</v>
      </c>
    </row>
    <row r="5">
      <c r="A5" t="str">
        <v>- 一站式應續保已續保</v>
      </c>
      <c r="B5">
        <v>191</v>
      </c>
      <c r="C5">
        <v>107</v>
      </c>
      <c r="D5">
        <v>120</v>
      </c>
      <c r="E5">
        <v>133</v>
      </c>
      <c r="F5">
        <v>146</v>
      </c>
      <c r="G5">
        <v>159</v>
      </c>
      <c r="H5">
        <v>172</v>
      </c>
      <c r="I5">
        <v>185</v>
      </c>
      <c r="J5">
        <v>101</v>
      </c>
      <c r="K5">
        <v>114</v>
      </c>
    </row>
    <row r="6">
      <c r="A6" t="str">
        <v>- 一站式應續保未續保</v>
      </c>
      <c r="B6">
        <v>111</v>
      </c>
      <c r="C6">
        <v>124</v>
      </c>
      <c r="D6">
        <v>137</v>
      </c>
      <c r="E6">
        <v>150</v>
      </c>
      <c r="F6">
        <v>163</v>
      </c>
      <c r="G6">
        <v>176</v>
      </c>
      <c r="H6">
        <v>189</v>
      </c>
      <c r="I6">
        <v>105</v>
      </c>
      <c r="J6">
        <v>118</v>
      </c>
      <c r="K6">
        <v>131</v>
      </c>
    </row>
    <row r="7">
      <c r="A7" t="str">
        <v>等效先認應續保</v>
      </c>
      <c r="B7">
        <f>SUM(C7:N7)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>
      <c r="A8" t="str">
        <v>- 等效先認應續保已續保</v>
      </c>
      <c r="B8">
        <f>SUM(C8:N8)</f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>
      <c r="A9" t="str">
        <v>- 等效先認應續保未續保</v>
      </c>
      <c r="B9">
        <f>SUM(C9:N9)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>
      <c r="B10">
        <f>SUM(C10:N10)</f>
        <v>0</v>
      </c>
    </row>
    <row r="11">
      <c r="A11" t="str">
        <v>SEM Report</v>
      </c>
      <c r="B11">
        <f>SUM(C11:N11)</f>
        <v>0</v>
      </c>
    </row>
    <row r="12">
      <c r="A12" t="str">
        <v>- Impression</v>
      </c>
      <c r="B12">
        <v>10160</v>
      </c>
      <c r="C12">
        <v>10290</v>
      </c>
      <c r="D12">
        <v>10420</v>
      </c>
      <c r="E12">
        <v>10550</v>
      </c>
      <c r="F12">
        <v>10680</v>
      </c>
      <c r="G12">
        <v>10810</v>
      </c>
      <c r="H12">
        <v>10940</v>
      </c>
      <c r="I12">
        <v>10100</v>
      </c>
      <c r="J12">
        <v>10230</v>
      </c>
      <c r="K12">
        <v>10360</v>
      </c>
    </row>
    <row r="13">
      <c r="A13" t="str">
        <v>- Clicks</v>
      </c>
      <c r="B13">
        <v>10330</v>
      </c>
      <c r="C13">
        <v>146</v>
      </c>
      <c r="D13">
        <v>159</v>
      </c>
      <c r="E13">
        <v>172</v>
      </c>
      <c r="F13">
        <v>185</v>
      </c>
      <c r="G13">
        <v>101</v>
      </c>
      <c r="H13">
        <v>114</v>
      </c>
      <c r="I13">
        <v>127</v>
      </c>
      <c r="J13">
        <v>140</v>
      </c>
      <c r="K13">
        <v>153</v>
      </c>
    </row>
    <row r="14">
      <c r="A14" t="str">
        <v>- CTR(ClickThrough Rate)</v>
      </c>
      <c r="B14">
        <v>0.15</v>
      </c>
      <c r="C14">
        <v>0.08</v>
      </c>
      <c r="D14">
        <v>0.21</v>
      </c>
      <c r="E14">
        <v>0.14</v>
      </c>
      <c r="F14">
        <v>0.1</v>
      </c>
      <c r="G14">
        <v>0.23</v>
      </c>
      <c r="H14">
        <v>0.16</v>
      </c>
      <c r="I14">
        <v>0.09</v>
      </c>
      <c r="J14">
        <v>0.22</v>
      </c>
      <c r="K14">
        <v>0.15</v>
      </c>
    </row>
    <row r="15">
      <c r="A15" t="str">
        <v>- Cost</v>
      </c>
      <c r="B15">
        <v>10670</v>
      </c>
      <c r="C15">
        <v>10800</v>
      </c>
      <c r="D15">
        <v>10930</v>
      </c>
      <c r="E15">
        <v>10090</v>
      </c>
      <c r="F15">
        <v>10220</v>
      </c>
      <c r="G15">
        <v>10350</v>
      </c>
      <c r="H15">
        <v>10480</v>
      </c>
      <c r="I15">
        <v>10610</v>
      </c>
      <c r="J15">
        <v>10740</v>
      </c>
      <c r="K15">
        <v>10870</v>
      </c>
    </row>
    <row r="16">
      <c r="A16" t="str">
        <v>- CPC(Cost Per Click)</v>
      </c>
      <c r="B16">
        <v>14</v>
      </c>
      <c r="C16">
        <v>10</v>
      </c>
      <c r="D16">
        <v>23</v>
      </c>
      <c r="E16">
        <v>36</v>
      </c>
      <c r="F16">
        <v>49</v>
      </c>
      <c r="G16">
        <v>62</v>
      </c>
      <c r="H16">
        <v>75</v>
      </c>
      <c r="I16">
        <v>88</v>
      </c>
      <c r="J16">
        <v>21</v>
      </c>
      <c r="K16">
        <v>17</v>
      </c>
    </row>
    <row r="17">
      <c r="A17" t="str">
        <v>-Coversion</v>
      </c>
      <c r="B17">
        <v>104</v>
      </c>
      <c r="C17">
        <v>27</v>
      </c>
      <c r="D17">
        <v>40</v>
      </c>
      <c r="E17">
        <v>53</v>
      </c>
      <c r="F17">
        <v>66</v>
      </c>
      <c r="G17">
        <v>79</v>
      </c>
      <c r="H17">
        <v>12</v>
      </c>
      <c r="I17">
        <v>25</v>
      </c>
      <c r="J17">
        <v>21</v>
      </c>
      <c r="K17">
        <v>34</v>
      </c>
    </row>
    <row r="18">
      <c r="A18" t="str">
        <v>-CPA(Cost Per Acquisition)</v>
      </c>
      <c r="B18">
        <v>121</v>
      </c>
      <c r="C18">
        <v>134</v>
      </c>
      <c r="D18">
        <v>147</v>
      </c>
      <c r="E18">
        <v>160</v>
      </c>
      <c r="F18">
        <v>173</v>
      </c>
      <c r="G18">
        <v>186</v>
      </c>
      <c r="H18">
        <v>102</v>
      </c>
      <c r="I18">
        <v>115</v>
      </c>
      <c r="J18">
        <v>128</v>
      </c>
      <c r="K18">
        <v>141</v>
      </c>
    </row>
    <row r="19">
      <c r="B19">
        <f>SUM(C19:N19)</f>
        <v>0</v>
      </c>
    </row>
    <row r="20">
      <c r="A20" t="str">
        <v>FB Report</v>
      </c>
      <c r="B20">
        <f>SUM(C20:N20)</f>
        <v>0</v>
      </c>
    </row>
    <row r="21">
      <c r="A21" t="str">
        <v>- Impression</v>
      </c>
      <c r="B21">
        <v>10720</v>
      </c>
      <c r="C21">
        <v>10850</v>
      </c>
      <c r="D21">
        <v>10010</v>
      </c>
      <c r="E21">
        <v>10140</v>
      </c>
      <c r="F21">
        <v>10270</v>
      </c>
      <c r="G21">
        <v>10400</v>
      </c>
      <c r="H21">
        <v>10530</v>
      </c>
      <c r="I21">
        <v>10660</v>
      </c>
      <c r="J21">
        <v>10790</v>
      </c>
      <c r="K21">
        <v>10920</v>
      </c>
    </row>
    <row r="22">
      <c r="A22" t="str">
        <v>- Clicks</v>
      </c>
      <c r="B22">
        <v>10890</v>
      </c>
      <c r="C22">
        <v>105</v>
      </c>
      <c r="D22">
        <v>118</v>
      </c>
      <c r="E22">
        <v>131</v>
      </c>
      <c r="F22">
        <v>144</v>
      </c>
      <c r="G22">
        <v>157</v>
      </c>
      <c r="H22">
        <v>170</v>
      </c>
      <c r="I22">
        <v>183</v>
      </c>
      <c r="J22">
        <v>196</v>
      </c>
      <c r="K22">
        <v>112</v>
      </c>
    </row>
    <row r="23">
      <c r="A23" t="str">
        <v>- CTR(ClickThrough Rate)</v>
      </c>
      <c r="B23">
        <v>0.14</v>
      </c>
      <c r="C23">
        <v>0.07</v>
      </c>
      <c r="D23">
        <v>0.2</v>
      </c>
      <c r="E23">
        <v>0.13</v>
      </c>
      <c r="F23">
        <v>0.06</v>
      </c>
      <c r="G23">
        <v>0.19</v>
      </c>
      <c r="H23">
        <v>0.12</v>
      </c>
      <c r="I23">
        <v>0.08</v>
      </c>
      <c r="J23">
        <v>0.21</v>
      </c>
      <c r="K23">
        <v>0.14</v>
      </c>
    </row>
    <row r="24">
      <c r="A24" t="str">
        <v>- Cost</v>
      </c>
      <c r="B24">
        <v>10260</v>
      </c>
      <c r="C24">
        <v>139</v>
      </c>
      <c r="D24">
        <v>10520</v>
      </c>
      <c r="E24">
        <v>10650</v>
      </c>
      <c r="F24">
        <v>178</v>
      </c>
      <c r="G24">
        <v>191</v>
      </c>
      <c r="H24">
        <v>107</v>
      </c>
      <c r="I24">
        <v>120</v>
      </c>
      <c r="J24">
        <v>133</v>
      </c>
      <c r="K24">
        <v>10460</v>
      </c>
    </row>
    <row r="25">
      <c r="A25" t="str">
        <v>- CPC(Cost Per Click)</v>
      </c>
      <c r="B25">
        <v>53</v>
      </c>
      <c r="C25">
        <v>66</v>
      </c>
      <c r="D25">
        <v>79</v>
      </c>
      <c r="E25">
        <v>12</v>
      </c>
      <c r="F25">
        <v>25</v>
      </c>
      <c r="G25">
        <v>21</v>
      </c>
      <c r="H25">
        <v>34</v>
      </c>
      <c r="I25">
        <v>47</v>
      </c>
      <c r="J25">
        <v>60</v>
      </c>
      <c r="K25">
        <v>73</v>
      </c>
    </row>
    <row r="26">
      <c r="A26" t="str">
        <v>-Coversion</v>
      </c>
      <c r="B26">
        <v>160</v>
      </c>
      <c r="C26">
        <v>83</v>
      </c>
      <c r="D26">
        <v>186</v>
      </c>
      <c r="E26">
        <v>102</v>
      </c>
      <c r="F26">
        <v>25</v>
      </c>
      <c r="G26">
        <v>38</v>
      </c>
      <c r="H26">
        <v>51</v>
      </c>
      <c r="I26">
        <v>64</v>
      </c>
      <c r="J26">
        <v>77</v>
      </c>
      <c r="K26">
        <v>180</v>
      </c>
    </row>
    <row r="27">
      <c r="A27" t="str">
        <v>-CPA(Cost Per Acquisition)</v>
      </c>
      <c r="B27">
        <v>177</v>
      </c>
      <c r="C27">
        <v>190</v>
      </c>
      <c r="D27">
        <v>16</v>
      </c>
      <c r="E27">
        <v>119</v>
      </c>
      <c r="F27">
        <v>132</v>
      </c>
      <c r="G27">
        <v>145</v>
      </c>
      <c r="H27">
        <v>158</v>
      </c>
      <c r="I27">
        <v>171</v>
      </c>
      <c r="J27">
        <v>184</v>
      </c>
      <c r="K27">
        <v>100</v>
      </c>
    </row>
  </sheetData>
  <pageMargins left="0.7" right="0.7" top="0.75" bottom="0.75" header="0.3" footer="0.3"/>
  <ignoredErrors>
    <ignoredError numberStoredAsText="1" sqref="A1:N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2026-10-13T09:22:38Z</dcterms:created>
  <dcterms:modified xsi:type="dcterms:W3CDTF">2026-10-15T10:04:01Z</dcterms:modified>
  <cp:lastModifiedBy>Bella Hu</cp:lastModifiedBy>
  <dc:creator>Bella Hu</dc:creator>
</cp:coreProperties>
</file>