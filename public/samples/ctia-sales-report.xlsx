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港车北上" sheetId="1" r:id="rId1"/>
  </sheets>
</workbook>
</file>

<file path=xl/comments1.xml><?xml version="1.0" encoding="utf-8"?>
<comments xmlns="http://schemas.openxmlformats.org/spreadsheetml/2006/main">
  <authors>
    <author>Bella Hu</author>
  </authors>
  <commentList>
    <comment ref="O10" authorId="0">
      <text>
        <t xml:space="preserve">Bella Hu:
两单退保商业险未计入</t>
      </text>
    </comment>
    <comment ref="C14" authorId="0">
      <text>
        <t xml:space="preserve">Bella Hu:
不包括续保</t>
      </text>
    </comment>
    <comment ref="C37" authorId="0">
      <text>
        <t xml:space="preserve">Bella Hu:
不包括续保</t>
      </text>
    </comment>
    <comment ref="E117" authorId="0">
      <text>
        <t xml:space="preserve">Bella Hu:
仅有23年11月开始数据，仅保留车牌unique value，未判断测试数据</t>
      </text>
    </comment>
    <comment ref="C130" authorId="0">
      <text>
        <t xml:space="preserve">Bella Hu:
不包括续保</t>
      </text>
    </comment>
    <comment ref="C146" authorId="0">
      <text>
        <t xml:space="preserve">Bella Hu:
不包括续保</t>
      </text>
    </comment>
    <comment ref="C148" authorId="0">
      <text>
        <t xml:space="preserve">Bella Hu:
SEM+官网</t>
      </text>
    </comment>
    <comment ref="C155" authorId="0">
      <text>
        <t xml:space="preserve">Bella Hu:
验车中心+天水围+新田</t>
      </text>
    </comment>
    <comment ref="C169" authorId="0">
      <text>
        <t xml:space="preserve">Bella Hu:
不包括续保</t>
      </text>
    </comment>
    <comment ref="C171" authorId="0">
      <text>
        <t xml:space="preserve">Bella Hu:
SEM+官网</t>
      </text>
    </comment>
    <comment ref="C178" authorId="0">
      <text>
        <t xml:space="preserve">Bella Hu:
验车中心+天水围+新田</t>
      </text>
    </comment>
    <comment ref="C343" authorId="0">
      <text>
        <t xml:space="preserve">Bella Hu:
不包括续保</t>
      </text>
    </comment>
    <comment ref="C358" authorId="0">
      <text>
        <t xml:space="preserve">Bella Hu:
不含续保</t>
      </text>
    </comment>
    <comment ref="R389" authorId="0">
      <text>
        <t xml:space="preserve">Bella Hu:
6.24-6.30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43" formatCode="_(* #,##0.00_);_(* \(#,##0.00\);_(* &quot;-&quot;??_);_(@_)"/>
    <numFmt numFmtId="56" formatCode="&quot;上午/下午 &quot;hh&quot;時&quot;mm&quot;分&quot;ss&quot;秒 &quot;"/>
    <numFmt numFmtId="164" formatCode="&quot;$&quot;#,##0.00;[Red]\-&quot;$&quot;#,##0.00"/>
    <numFmt numFmtId="165" formatCode="_-&quot;$&quot;* #,##0.00_-;\-&quot;$&quot;* #,##0.00_-;_-&quot;$&quot;* &quot;-&quot;??_-;_-@_-"/>
    <numFmt numFmtId="166" formatCode="&quot;$&quot;#,##0_);[Red]\(&quot;$&quot;#,##0\)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_(* #,##0_);_(* \(#,##0\);_(* &quot;-&quot;??_);_(@_)"/>
    <numFmt numFmtId="170" formatCode="_(&quot;$&quot;* #,##0_);_(&quot;$&quot;* \(#,##0\);_(&quot;$&quot;* &quot;-&quot;??_);_(@_)"/>
    <numFmt numFmtId="171" formatCode="&quot;$&quot;#,##0.0_);[Red]\(&quot;$&quot;#,##0.0\)"/>
    <numFmt numFmtId="172" formatCode="_ * #,##0.00_ ;_ * \-#,##0.00_ ;_ * &quot;-&quot;??_ ;_ @_ "/>
    <numFmt numFmtId="173" formatCode="_-&quot;$&quot;* #,##0_-;\-&quot;$&quot;* #,##0_-;_-&quot;$&quot;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418"/>
  <sheetViews>
    <sheetView workbookViewId="0" rightToLeft="0"/>
  </sheetViews>
  <sheetData>
    <row r="1">
      <c r="Z1">
        <v>43</v>
      </c>
    </row>
    <row r="2" xml:space="preserve">
      <c r="H2" t="str" xml:space="preserve">
        <v xml:space="preserve">YTD_x000d_
Month: Feb 2025</v>
      </c>
      <c r="J2" t="str">
        <v>Previous Month</v>
      </c>
      <c r="K2" t="str" xml:space="preserve">
        <v xml:space="preserve">Current Month_x000d_
Feb 2025</v>
      </c>
      <c r="M2" t="str">
        <v>2024 Act</v>
      </c>
      <c r="Y2" t="str">
        <v>2025 Act</v>
      </c>
      <c r="AK2" t="str">
        <v>2026 Act</v>
      </c>
    </row>
    <row r="4" xml:space="preserve">
      <c r="D4" t="str">
        <v>Unit</v>
      </c>
      <c r="E4" t="str" xml:space="preserve">
        <v xml:space="preserve">2023 Sept-Dec_x000d_
(Act)</v>
      </c>
      <c r="F4" t="str" xml:space="preserve">
        <v xml:space="preserve">2024_x000d_
(Act)</v>
      </c>
      <c r="G4" t="str" xml:space="preserve">
        <v xml:space="preserve">2024_x000d_
(Bud)</v>
      </c>
      <c r="H4" t="str" xml:space="preserve">
        <v xml:space="preserve">YTD_x000d_
(Act)</v>
      </c>
      <c r="I4" t="str" xml:space="preserve">
        <v xml:space="preserve">YTD_x000d_
(Bud)</v>
      </c>
      <c r="J4" t="str" xml:space="preserve">
        <v xml:space="preserve">MTD_x000d_
(Act)</v>
      </c>
      <c r="K4" t="str" xml:space="preserve">
        <v xml:space="preserve">MTD_x000d_
(Act)</v>
      </c>
      <c r="L4" t="str">
        <v>Bud</v>
      </c>
      <c r="M4" t="str">
        <v>Jan 24</v>
      </c>
      <c r="N4" t="str">
        <v>Feb 24</v>
      </c>
      <c r="O4" t="str">
        <v>Mar 24</v>
      </c>
      <c r="P4" t="str">
        <v>Apr 24</v>
      </c>
      <c r="Q4" t="str">
        <v>May 24</v>
      </c>
      <c r="R4" t="str">
        <v>Jun 24</v>
      </c>
      <c r="S4" t="str">
        <v>Jul 24</v>
      </c>
      <c r="T4" t="str">
        <v>Aug 24</v>
      </c>
      <c r="U4" t="str">
        <v>Sep 24</v>
      </c>
      <c r="V4" t="str">
        <v>Oct 24</v>
      </c>
      <c r="W4" t="str">
        <v>Nov 24</v>
      </c>
      <c r="X4" t="str">
        <v>Dec 24</v>
      </c>
      <c r="Y4" t="str">
        <v>Jan 25</v>
      </c>
      <c r="Z4" t="str">
        <v>Feb 25</v>
      </c>
      <c r="AA4" t="str">
        <v>Mar 25</v>
      </c>
      <c r="AB4" t="str">
        <v>Apr 25</v>
      </c>
      <c r="AC4" t="str">
        <v>May 25</v>
      </c>
      <c r="AD4" t="str">
        <v>Jun 25</v>
      </c>
      <c r="AE4" t="str">
        <v>Jul 25</v>
      </c>
      <c r="AF4" t="str">
        <v>Aug 25</v>
      </c>
      <c r="AG4" t="str">
        <v>Sep 25</v>
      </c>
      <c r="AH4" t="str">
        <v>Oct 25</v>
      </c>
      <c r="AI4" t="str">
        <v>Nov 25</v>
      </c>
      <c r="AJ4" t="str">
        <v>Dec 25</v>
      </c>
      <c r="AK4" t="str">
        <v>Jan 26</v>
      </c>
      <c r="AL4" t="str">
        <v>Feb 26</v>
      </c>
      <c r="AM4" t="str">
        <v>Mar 26</v>
      </c>
      <c r="AN4" t="str">
        <v>Apr 26</v>
      </c>
      <c r="AO4" t="str">
        <v>May 26</v>
      </c>
      <c r="AP4" t="str">
        <v>June 26</v>
      </c>
      <c r="AQ4" t="str">
        <v>July 26</v>
      </c>
      <c r="AR4" t="str">
        <v>Aug 26</v>
      </c>
      <c r="AS4" t="str">
        <v>Sept 26</v>
      </c>
      <c r="AT4" t="str">
        <v>Oct 26</v>
      </c>
      <c r="AU4" t="str">
        <v>Nov 26</v>
      </c>
      <c r="AV4" t="str">
        <v>Dec 26</v>
      </c>
    </row>
    <row r="6">
      <c r="B6" t="str">
        <v>Definition</v>
      </c>
      <c r="C6" t="str">
        <v>No. of Working Days</v>
      </c>
      <c r="D6" t="str">
        <v>#</v>
      </c>
      <c r="E6">
        <v>82</v>
      </c>
      <c r="F6">
        <f>H6</f>
        <v>39</v>
      </c>
      <c r="H6">
        <f>SUM(Y6:Z6)</f>
        <v>39</v>
      </c>
      <c r="J6">
        <f>W6</f>
        <v>21</v>
      </c>
      <c r="K6">
        <f>Z6</f>
        <v>20</v>
      </c>
      <c r="M6">
        <v>22</v>
      </c>
      <c r="N6">
        <v>19</v>
      </c>
      <c r="O6">
        <v>20</v>
      </c>
      <c r="P6">
        <v>20</v>
      </c>
      <c r="Q6">
        <v>21</v>
      </c>
      <c r="R6">
        <v>19</v>
      </c>
      <c r="S6">
        <v>22</v>
      </c>
      <c r="T6">
        <v>22</v>
      </c>
      <c r="U6">
        <v>20</v>
      </c>
      <c r="V6">
        <v>21</v>
      </c>
      <c r="W6">
        <v>21</v>
      </c>
      <c r="X6">
        <v>20</v>
      </c>
      <c r="Y6">
        <v>19</v>
      </c>
      <c r="Z6">
        <v>20</v>
      </c>
      <c r="AA6">
        <v>21</v>
      </c>
      <c r="AB6">
        <v>19</v>
      </c>
      <c r="AC6">
        <v>20</v>
      </c>
      <c r="AD6">
        <v>21</v>
      </c>
      <c r="AE6">
        <v>22</v>
      </c>
      <c r="AF6">
        <v>21</v>
      </c>
      <c r="AG6">
        <v>22</v>
      </c>
      <c r="AH6">
        <v>20</v>
      </c>
      <c r="AI6">
        <v>20</v>
      </c>
      <c r="AJ6">
        <v>21</v>
      </c>
      <c r="AK6">
        <v>26</v>
      </c>
      <c r="AL6">
        <v>21</v>
      </c>
      <c r="AM6">
        <v>26</v>
      </c>
      <c r="AN6">
        <v>21</v>
      </c>
      <c r="AO6">
        <v>21</v>
      </c>
      <c r="AP6">
        <v>22</v>
      </c>
      <c r="AQ6">
        <v>23</v>
      </c>
      <c r="AR6">
        <v>21</v>
      </c>
      <c r="AS6">
        <v>22</v>
      </c>
    </row>
    <row r="7">
      <c r="C7" t="str">
        <v>No. of Motor checked</v>
      </c>
      <c r="D7" t="str">
        <v>#</v>
      </c>
      <c r="E7">
        <v>14145</v>
      </c>
      <c r="F7">
        <f>H7</f>
        <v>6015</v>
      </c>
      <c r="H7">
        <f>SUM(Y7:Z7)</f>
        <v>6015</v>
      </c>
      <c r="J7">
        <f>W7</f>
        <v>484</v>
      </c>
      <c r="K7">
        <f>Z7</f>
        <v>640</v>
      </c>
      <c r="M7">
        <v>790</v>
      </c>
      <c r="N7">
        <v>568</v>
      </c>
      <c r="O7">
        <v>682</v>
      </c>
      <c r="P7">
        <v>728</v>
      </c>
      <c r="Q7">
        <v>671</v>
      </c>
      <c r="R7">
        <v>617</v>
      </c>
      <c r="S7">
        <v>580</v>
      </c>
      <c r="T7">
        <v>536</v>
      </c>
      <c r="U7">
        <v>407</v>
      </c>
      <c r="V7">
        <v>422</v>
      </c>
      <c r="W7">
        <v>484</v>
      </c>
      <c r="X7">
        <v>453</v>
      </c>
      <c r="Y7">
        <v>563</v>
      </c>
      <c r="Z7">
        <v>640</v>
      </c>
      <c r="AA7">
        <v>695</v>
      </c>
      <c r="AB7">
        <v>472</v>
      </c>
      <c r="AC7">
        <v>440</v>
      </c>
      <c r="AD7">
        <v>537</v>
      </c>
      <c r="AE7">
        <v>530</v>
      </c>
      <c r="AF7">
        <f>1931+1072</f>
        <v>3003</v>
      </c>
      <c r="AG7">
        <v>347</v>
      </c>
      <c r="AH7">
        <f>2210+70+122+163+114</f>
        <v>2679</v>
      </c>
      <c r="AI7">
        <v>633</v>
      </c>
      <c r="AJ7">
        <v>564</v>
      </c>
      <c r="AK7">
        <v>525</v>
      </c>
      <c r="AL7">
        <v>460</v>
      </c>
      <c r="AM7">
        <v>580</v>
      </c>
      <c r="AN7">
        <v>420</v>
      </c>
      <c r="AO7">
        <v>400</v>
      </c>
      <c r="AP7">
        <v>460</v>
      </c>
      <c r="AQ7">
        <v>480</v>
      </c>
    </row>
    <row r="9">
      <c r="B9" t="str">
        <v>总保费 港币</v>
      </c>
      <c r="C9" t="str">
        <v>Total Premium</v>
      </c>
      <c r="D9" t="str">
        <v>$</v>
      </c>
      <c r="E9">
        <f>E10+E11</f>
        <v>736241</v>
      </c>
      <c r="F9">
        <f>H9</f>
        <v>2327336</v>
      </c>
      <c r="H9">
        <f>SUM(Y9:Z9)</f>
        <v>2327336</v>
      </c>
      <c r="J9">
        <f>W9</f>
        <v>197443</v>
      </c>
      <c r="K9">
        <f>Z9</f>
        <v>233553</v>
      </c>
      <c r="M9">
        <f>M10+M11</f>
        <v>79781</v>
      </c>
      <c r="N9">
        <f>N10+N11</f>
        <v>82587</v>
      </c>
      <c r="O9">
        <f>O10+O11</f>
        <v>120408</v>
      </c>
      <c r="P9">
        <f>P10+P11</f>
        <v>71310</v>
      </c>
      <c r="Q9">
        <f>Q10+Q11</f>
        <v>138619</v>
      </c>
      <c r="R9">
        <f>R10+R11</f>
        <v>149798</v>
      </c>
      <c r="S9">
        <f>S10+S11</f>
        <v>196719</v>
      </c>
      <c r="T9">
        <f>T10+T11</f>
        <v>357393.65</v>
      </c>
      <c r="U9">
        <f>U10+U11</f>
        <v>187724</v>
      </c>
      <c r="V9">
        <f>V10+V11</f>
        <v>184664</v>
      </c>
      <c r="W9">
        <f>W10+W11</f>
        <v>197443</v>
      </c>
      <c r="X9">
        <f>X10+X11</f>
        <v>278078</v>
      </c>
      <c r="Y9">
        <f>Y10+Y11</f>
        <v>231914</v>
      </c>
      <c r="Z9">
        <f>Z10+Z11</f>
        <v>233553</v>
      </c>
      <c r="AA9">
        <f>AA10+AA11</f>
        <v>220995</v>
      </c>
      <c r="AB9">
        <f>AB10+AB11</f>
        <v>162175</v>
      </c>
      <c r="AC9">
        <f>AC10+AC11</f>
        <v>221851</v>
      </c>
      <c r="AD9">
        <f>AD10+AD11</f>
        <v>223380</v>
      </c>
      <c r="AE9">
        <f>AE10+AE11</f>
        <v>162013</v>
      </c>
      <c r="AF9">
        <f>AF10+AF11</f>
        <v>1055179.1923076923</v>
      </c>
      <c r="AG9">
        <f>AG10+AG11</f>
        <v>150949</v>
      </c>
      <c r="AH9">
        <f>AH10+AH11</f>
        <v>225625</v>
      </c>
      <c r="AI9">
        <f>AI10+AI11</f>
        <v>232581</v>
      </c>
      <c r="AJ9">
        <f>AJ10+AJ11</f>
        <v>266170</v>
      </c>
      <c r="AK9">
        <f>AK10+AK11</f>
        <v>278554</v>
      </c>
      <c r="AL9">
        <f>AL10+AL11</f>
        <v>198610</v>
      </c>
      <c r="AM9">
        <f>AM10+AM11</f>
        <v>296920</v>
      </c>
      <c r="AN9">
        <f>AN10+AN11</f>
        <v>284476</v>
      </c>
      <c r="AO9">
        <f>AO10+AO11</f>
        <v>329658</v>
      </c>
      <c r="AP9">
        <f>AP10+AP11</f>
        <v>300164</v>
      </c>
      <c r="AQ9">
        <f>AQ10+AQ11</f>
        <v>293261</v>
      </c>
      <c r="AR9">
        <f>AR10+AR11</f>
        <v>0</v>
      </c>
      <c r="AS9">
        <f>AS10+AS11</f>
        <v>0</v>
      </c>
      <c r="AT9">
        <f>AT10+AT11</f>
        <v>0</v>
      </c>
      <c r="AU9">
        <f>AU10+AU11</f>
        <v>0</v>
      </c>
      <c r="AV9">
        <f>AV10+AV11</f>
        <v>0</v>
      </c>
    </row>
    <row r="10">
      <c r="B10" t="str">
        <v>新增投保</v>
      </c>
      <c r="C10" t="str">
        <v xml:space="preserve"> - New Sales</v>
      </c>
      <c r="D10" t="str">
        <v>$</v>
      </c>
      <c r="E10">
        <v>736241</v>
      </c>
      <c r="F10">
        <f>H10</f>
        <v>2074478</v>
      </c>
      <c r="H10">
        <f>SUM(Y10:Z10)</f>
        <v>2074478</v>
      </c>
      <c r="J10">
        <f>W10</f>
        <v>190799</v>
      </c>
      <c r="K10">
        <f>Z10</f>
        <v>211418</v>
      </c>
      <c r="M10">
        <f>M14+M60</f>
        <v>79781</v>
      </c>
      <c r="N10">
        <f>N14+N60</f>
        <v>82587</v>
      </c>
      <c r="O10">
        <f>O14+O60</f>
        <v>120408</v>
      </c>
      <c r="P10">
        <f>P14+P60</f>
        <v>71310</v>
      </c>
      <c r="Q10">
        <f>Q14+Q60</f>
        <v>138619</v>
      </c>
      <c r="R10">
        <f>R14+R60</f>
        <v>149798</v>
      </c>
      <c r="S10">
        <f>S14+S60</f>
        <v>196719</v>
      </c>
      <c r="T10">
        <f>T14+T60</f>
        <v>357393.65</v>
      </c>
      <c r="U10">
        <f>U14+U60</f>
        <v>187724</v>
      </c>
      <c r="V10">
        <f>V14+V60</f>
        <v>171215</v>
      </c>
      <c r="W10">
        <f>W14+W60</f>
        <v>190799</v>
      </c>
      <c r="X10">
        <f>X14+X60</f>
        <v>153921</v>
      </c>
      <c r="Y10">
        <f>Y14+Y60</f>
        <v>203478</v>
      </c>
      <c r="Z10">
        <f>Z14+Z60</f>
        <v>211418</v>
      </c>
      <c r="AA10">
        <f>AA14+AA60</f>
        <v>204724</v>
      </c>
      <c r="AB10">
        <f>AB14+AB60</f>
        <v>139699</v>
      </c>
      <c r="AC10">
        <f>AC14+AC60</f>
        <v>122135</v>
      </c>
      <c r="AD10">
        <f>AD14+AD60</f>
        <v>142306</v>
      </c>
      <c r="AE10">
        <f>AE14+AE60</f>
        <v>61850</v>
      </c>
      <c r="AF10">
        <f>AF14+AF60</f>
        <v>625286.6923076923</v>
      </c>
      <c r="AG10">
        <f>AG14+AG60</f>
        <v>75071</v>
      </c>
      <c r="AH10">
        <f>AH14+AH60</f>
        <v>138815</v>
      </c>
      <c r="AI10">
        <f>AI14+AI60</f>
        <v>154972</v>
      </c>
      <c r="AJ10">
        <f>AJ14+AJ60</f>
        <v>147509</v>
      </c>
      <c r="AK10">
        <f>AK14+AK60</f>
        <v>155712</v>
      </c>
      <c r="AL10">
        <f>AL14+AL60</f>
        <v>119116</v>
      </c>
      <c r="AM10">
        <f>AM14+AM60</f>
        <v>202380</v>
      </c>
      <c r="AN10">
        <f>AN14+AN60</f>
        <v>173361</v>
      </c>
      <c r="AO10">
        <f>AO14+AO60</f>
        <v>200027</v>
      </c>
      <c r="AP10">
        <f>AP14+AP60</f>
        <v>192314</v>
      </c>
      <c r="AQ10">
        <f>AQ14+AQ60</f>
        <v>180324</v>
      </c>
      <c r="AR10">
        <f>AR14+AR60</f>
        <v>0</v>
      </c>
      <c r="AS10">
        <f>AS14+AS60</f>
        <v>0</v>
      </c>
      <c r="AT10">
        <f>AT14+AT60</f>
        <v>0</v>
      </c>
      <c r="AU10">
        <f>AU14+AU60</f>
        <v>0</v>
      </c>
      <c r="AV10">
        <f>AV14+AV60</f>
        <v>0</v>
      </c>
    </row>
    <row r="11">
      <c r="B11" t="str">
        <v>续保投保</v>
      </c>
      <c r="C11" t="str">
        <v xml:space="preserve"> - Renewal</v>
      </c>
      <c r="D11" t="str">
        <v>$</v>
      </c>
      <c r="F11">
        <f>H11</f>
        <v>252858</v>
      </c>
      <c r="H11">
        <f>SUM(Y11:Z11)</f>
        <v>252858</v>
      </c>
      <c r="J11">
        <f>W11</f>
        <v>6644</v>
      </c>
      <c r="K11">
        <f>Z11</f>
        <v>22135</v>
      </c>
      <c r="V11">
        <v>13449</v>
      </c>
      <c r="W11">
        <v>6644</v>
      </c>
      <c r="X11">
        <f>95088+29069</f>
        <v>124157</v>
      </c>
      <c r="Y11">
        <f>Y111+Y112</f>
        <v>28436</v>
      </c>
      <c r="Z11">
        <f>Z111+Z112</f>
        <v>22135</v>
      </c>
      <c r="AA11">
        <f>AA111+AA112</f>
        <v>16271</v>
      </c>
      <c r="AB11">
        <f>AB111+AB112</f>
        <v>22476</v>
      </c>
      <c r="AC11">
        <f>AC111+AC112</f>
        <v>99716</v>
      </c>
      <c r="AD11">
        <f>AD111+AD112</f>
        <v>81074</v>
      </c>
      <c r="AE11">
        <f>AE111+AE112</f>
        <v>100163</v>
      </c>
      <c r="AF11">
        <f>AF111+AF112</f>
        <v>429892.5</v>
      </c>
      <c r="AG11">
        <f>AG111+AG112</f>
        <v>75878</v>
      </c>
      <c r="AH11">
        <f>AH111+AH112</f>
        <v>86810</v>
      </c>
      <c r="AI11">
        <f>AI111+AI112</f>
        <v>77609</v>
      </c>
      <c r="AJ11">
        <f>AJ111+AJ112</f>
        <v>118661</v>
      </c>
      <c r="AK11">
        <f>AK111+AK112</f>
        <v>122842</v>
      </c>
      <c r="AL11">
        <f>AL111+AL112</f>
        <v>79494</v>
      </c>
      <c r="AM11">
        <f>AM111+AM112</f>
        <v>94540</v>
      </c>
      <c r="AN11">
        <f>AN111+AN112</f>
        <v>111115</v>
      </c>
      <c r="AO11">
        <f>AO111+AO112</f>
        <v>129631</v>
      </c>
      <c r="AP11">
        <f>AP111+AP112</f>
        <v>107850</v>
      </c>
      <c r="AQ11">
        <f>AQ111+AQ112</f>
        <v>112937</v>
      </c>
      <c r="AR11">
        <f>AR111+AR112</f>
        <v>0</v>
      </c>
      <c r="AS11">
        <f>AS111+AS112</f>
        <v>0</v>
      </c>
      <c r="AT11">
        <f>AT111+AT112</f>
        <v>0</v>
      </c>
      <c r="AU11">
        <f>AU111+AU112</f>
        <v>0</v>
      </c>
      <c r="AV11">
        <f>AV111+AV112</f>
        <v>0</v>
      </c>
    </row>
    <row r="12">
      <c r="K12">
        <f>Z12</f>
        <v>0</v>
      </c>
    </row>
    <row r="13">
      <c r="C13" t="str">
        <v>Product Breakup</v>
      </c>
      <c r="K13">
        <f>Z13</f>
        <v>0</v>
      </c>
    </row>
    <row r="14">
      <c r="C14" t="str">
        <v>Taiping Product-New Sales</v>
      </c>
      <c r="D14" t="str">
        <v>$</v>
      </c>
      <c r="E14">
        <v>736241</v>
      </c>
      <c r="F14">
        <f>H14</f>
        <v>545145</v>
      </c>
      <c r="H14">
        <f>SUM(Y14:Z14)</f>
        <v>545145</v>
      </c>
      <c r="J14">
        <f>W14</f>
        <v>45325</v>
      </c>
      <c r="K14">
        <f>Z14</f>
        <v>51432</v>
      </c>
      <c r="M14">
        <f>M16+M23</f>
        <v>79781</v>
      </c>
      <c r="N14">
        <f>N16+N23</f>
        <v>82587</v>
      </c>
      <c r="O14">
        <f>O16+O23</f>
        <v>119940</v>
      </c>
      <c r="P14">
        <f>P16+P23</f>
        <v>69762</v>
      </c>
      <c r="Q14">
        <v>26398</v>
      </c>
      <c r="R14">
        <v>11007</v>
      </c>
      <c r="S14">
        <v>8730</v>
      </c>
      <c r="T14">
        <f>194329.65</f>
        <v>194329.65</v>
      </c>
      <c r="U14">
        <v>53998</v>
      </c>
      <c r="V14">
        <v>43684</v>
      </c>
      <c r="W14">
        <f>W16+W23</f>
        <v>45325</v>
      </c>
      <c r="X14">
        <f>X16+X23</f>
        <v>38468</v>
      </c>
      <c r="Y14">
        <f>Y16+Y23</f>
        <v>57597</v>
      </c>
      <c r="Z14">
        <f>Z16+Z23</f>
        <v>51432</v>
      </c>
      <c r="AA14">
        <f>AA16+AA23</f>
        <v>37890</v>
      </c>
      <c r="AB14">
        <f>AB16+AB23</f>
        <v>26420</v>
      </c>
      <c r="AC14">
        <f>AC16+AC23</f>
        <v>21042</v>
      </c>
      <c r="AD14">
        <f>AD16+AD23</f>
        <v>26257</v>
      </c>
      <c r="AE14">
        <f>AE16+AE23</f>
        <v>24221</v>
      </c>
      <c r="AF14">
        <f>AF16+AF23</f>
        <v>118869.5</v>
      </c>
      <c r="AG14">
        <f>AG16+AG23</f>
        <v>18921</v>
      </c>
      <c r="AH14">
        <f>AH16+AH23</f>
        <v>23494</v>
      </c>
      <c r="AI14">
        <f>AI16+AI23</f>
        <v>18996</v>
      </c>
      <c r="AJ14">
        <f>AJ16+AJ23</f>
        <v>23359</v>
      </c>
      <c r="AK14">
        <f>AK15+AK26</f>
        <v>21552</v>
      </c>
      <c r="AL14">
        <f>AL15+AL26</f>
        <v>24793</v>
      </c>
      <c r="AM14">
        <f>AM15+AM26</f>
        <v>43579</v>
      </c>
      <c r="AN14">
        <f>AN15+AN26</f>
        <v>48242</v>
      </c>
      <c r="AO14">
        <f>AO15+AO26</f>
        <v>61082</v>
      </c>
      <c r="AP14">
        <f>AP15+AP26</f>
        <v>57614</v>
      </c>
      <c r="AQ14">
        <f>AQ15+AQ26</f>
        <v>62434</v>
      </c>
      <c r="AR14">
        <f>AR15+AR26</f>
        <v>0</v>
      </c>
      <c r="AS14">
        <f>AS15+AS26</f>
        <v>0</v>
      </c>
      <c r="AT14">
        <f>AT15+AT26</f>
        <v>0</v>
      </c>
      <c r="AU14">
        <f>AU15+AU26</f>
        <v>0</v>
      </c>
      <c r="AV14">
        <f>AV15+AV26</f>
        <v>0</v>
      </c>
    </row>
    <row r="15">
      <c r="C15" t="str">
        <v>一站式产品</v>
      </c>
      <c r="AK15">
        <f>AK16+AK23</f>
        <v>21552</v>
      </c>
      <c r="AL15">
        <f>AL16+AL23</f>
        <v>0</v>
      </c>
      <c r="AM15">
        <f>AM16+AM23</f>
        <v>0</v>
      </c>
      <c r="AN15">
        <f>AN16+AN23</f>
        <v>0</v>
      </c>
      <c r="AO15">
        <f>AO16+AO23</f>
        <v>0</v>
      </c>
      <c r="AP15">
        <f>AP16+AP23</f>
        <v>0</v>
      </c>
      <c r="AQ15">
        <f>AQ16+AQ23</f>
        <v>0</v>
      </c>
      <c r="AR15">
        <f>AR16+AR23</f>
        <v>0</v>
      </c>
      <c r="AS15">
        <f>AS16+AS23</f>
        <v>0</v>
      </c>
      <c r="AT15">
        <f>AT16+AT23</f>
        <v>0</v>
      </c>
      <c r="AU15">
        <f>AU16+AU23</f>
        <v>0</v>
      </c>
      <c r="AV15">
        <f>AV16+AV23</f>
        <v>0</v>
      </c>
    </row>
    <row r="16">
      <c r="B16" t="str">
        <v>Webpage, organic, SEM</v>
      </c>
      <c r="C16" t="str">
        <v xml:space="preserve"> - Online channel</v>
      </c>
      <c r="D16" t="str">
        <v>$</v>
      </c>
      <c r="F16">
        <f>H16</f>
        <v>431919</v>
      </c>
      <c r="H16">
        <f>SUM(Y16:Z16)</f>
        <v>431919</v>
      </c>
      <c r="J16">
        <f>W16</f>
        <v>38814</v>
      </c>
      <c r="K16">
        <f>Z16</f>
        <v>39388</v>
      </c>
      <c r="M16">
        <v>79781</v>
      </c>
      <c r="N16">
        <v>82587</v>
      </c>
      <c r="O16">
        <v>98313</v>
      </c>
      <c r="P16">
        <v>21849</v>
      </c>
      <c r="Q16">
        <v>4349</v>
      </c>
      <c r="R16">
        <f>2109.5</f>
        <v>2109.5</v>
      </c>
      <c r="S16">
        <f>14033.73</f>
        <v>14033.73</v>
      </c>
      <c r="T16">
        <f>SUM(T17:T20)</f>
        <v>30398</v>
      </c>
      <c r="U16">
        <f>SUM(U17:U20)</f>
        <v>42804</v>
      </c>
      <c r="V16">
        <f>SUM(V17:V20)</f>
        <v>33160</v>
      </c>
      <c r="W16">
        <f>SUM(W17:W20)</f>
        <v>38814</v>
      </c>
      <c r="X16">
        <f>SUM(X17:X20)</f>
        <v>30524</v>
      </c>
      <c r="Y16">
        <f>SUM(Y17:Y20)</f>
        <v>46995</v>
      </c>
      <c r="Z16">
        <f>SUM(Z17:Z20)</f>
        <v>39388</v>
      </c>
      <c r="AA16">
        <f>SUM(AA17:AA20)</f>
        <v>30644</v>
      </c>
      <c r="AB16">
        <f>SUM(AB17:AB20)</f>
        <v>22577</v>
      </c>
      <c r="AC16">
        <f>SUM(AC17:AC20)</f>
        <v>19241</v>
      </c>
      <c r="AD16">
        <f>SUM(AD17:AD20)</f>
        <v>22638</v>
      </c>
      <c r="AE16">
        <f>SUM(AE17:AE20)</f>
        <v>21313</v>
      </c>
      <c r="AF16">
        <f>SUM(AF17:AF20)</f>
        <v>116085.46153846153</v>
      </c>
      <c r="AG16">
        <f>SUM(AG17:AG20)</f>
        <v>17131</v>
      </c>
      <c r="AH16">
        <f>SUM(AH17:AH20)</f>
        <v>21032</v>
      </c>
      <c r="AI16">
        <f>SUM(AI17:AI20)</f>
        <v>18465</v>
      </c>
      <c r="AJ16">
        <f>SUM(AJ17:AJ20)</f>
        <v>22680</v>
      </c>
      <c r="AK16">
        <f>SUM(AK17:AK22)</f>
        <v>19788</v>
      </c>
      <c r="AL16">
        <f>SUM(AL17:AL22)</f>
        <v>0</v>
      </c>
      <c r="AM16">
        <f>SUM(AM17:AM22)</f>
        <v>0</v>
      </c>
      <c r="AN16">
        <f>SUM(AN17:AN22)</f>
        <v>0</v>
      </c>
      <c r="AO16">
        <f>SUM(AO17:AO22)</f>
        <v>0</v>
      </c>
      <c r="AP16">
        <f>SUM(AP17:AP22)</f>
        <v>0</v>
      </c>
      <c r="AQ16">
        <f>SUM(AQ17:AQ22)</f>
        <v>0</v>
      </c>
      <c r="AR16">
        <f>SUM(AR17:AR22)</f>
        <v>0</v>
      </c>
      <c r="AS16">
        <f>SUM(AS17:AS22)</f>
        <v>0</v>
      </c>
      <c r="AT16">
        <f>SUM(AT17:AT22)</f>
        <v>0</v>
      </c>
      <c r="AU16">
        <f>SUM(AU17:AU22)</f>
        <v>0</v>
      </c>
      <c r="AV16">
        <f>SUM(AV17:AV22)</f>
        <v>0</v>
      </c>
    </row>
    <row r="17">
      <c r="C17" t="str">
        <v>官网</v>
      </c>
      <c r="D17" t="str">
        <v>$</v>
      </c>
      <c r="T17">
        <v>9092</v>
      </c>
      <c r="U17">
        <v>17476</v>
      </c>
      <c r="V17">
        <v>10863</v>
      </c>
      <c r="W17">
        <v>16841</v>
      </c>
      <c r="X17">
        <v>10145</v>
      </c>
      <c r="Y17">
        <v>15497</v>
      </c>
      <c r="Z17">
        <v>17694</v>
      </c>
      <c r="AA17">
        <v>9331</v>
      </c>
      <c r="AB17">
        <v>10947</v>
      </c>
      <c r="AC17">
        <v>6517</v>
      </c>
      <c r="AD17">
        <v>9083</v>
      </c>
      <c r="AE17">
        <v>6314</v>
      </c>
      <c r="AF17">
        <f>9288/26*31</f>
        <v>11074.153846153846</v>
      </c>
      <c r="AG17">
        <v>3892</v>
      </c>
      <c r="AH17">
        <v>7338</v>
      </c>
      <c r="AI17">
        <v>5232</v>
      </c>
      <c r="AJ17">
        <v>6810</v>
      </c>
      <c r="AK17">
        <v>7672</v>
      </c>
    </row>
    <row r="18">
      <c r="C18" t="str">
        <v>谷歌SEM</v>
      </c>
      <c r="D18" t="str">
        <v>$</v>
      </c>
      <c r="T18">
        <v>4996</v>
      </c>
      <c r="U18">
        <v>12227</v>
      </c>
      <c r="V18">
        <v>13009</v>
      </c>
      <c r="W18">
        <v>11468</v>
      </c>
      <c r="X18">
        <v>9833</v>
      </c>
      <c r="Y18">
        <v>16300</v>
      </c>
      <c r="Z18">
        <v>12162</v>
      </c>
      <c r="AA18">
        <v>11665</v>
      </c>
      <c r="AB18">
        <v>7268</v>
      </c>
      <c r="AC18">
        <v>5170</v>
      </c>
      <c r="AD18">
        <v>5343</v>
      </c>
      <c r="AE18">
        <v>6550</v>
      </c>
      <c r="AF18">
        <f>30015/26*31</f>
        <v>35787.11538461538</v>
      </c>
      <c r="AG18">
        <v>7525</v>
      </c>
      <c r="AH18">
        <v>9981</v>
      </c>
      <c r="AI18">
        <v>10663</v>
      </c>
      <c r="AJ18">
        <v>11962</v>
      </c>
      <c r="AK18">
        <v>6609</v>
      </c>
    </row>
    <row r="19">
      <c r="C19" t="str">
        <v>验车网站</v>
      </c>
      <c r="D19" t="str">
        <v>$</v>
      </c>
      <c r="T19">
        <v>16310</v>
      </c>
      <c r="U19">
        <v>13101</v>
      </c>
      <c r="V19">
        <v>9288</v>
      </c>
      <c r="W19">
        <v>10505</v>
      </c>
      <c r="X19">
        <v>10546</v>
      </c>
      <c r="Y19">
        <v>15198</v>
      </c>
      <c r="Z19">
        <v>9532</v>
      </c>
      <c r="AA19">
        <v>9648</v>
      </c>
      <c r="AB19">
        <v>4362</v>
      </c>
      <c r="AC19">
        <v>7554</v>
      </c>
      <c r="AD19">
        <v>8212</v>
      </c>
      <c r="AE19">
        <v>8238</v>
      </c>
      <c r="AF19">
        <f>53925/26*31</f>
        <v>64295.192307692305</v>
      </c>
      <c r="AG19">
        <v>4630</v>
      </c>
      <c r="AH19">
        <v>3034</v>
      </c>
      <c r="AI19">
        <v>2570</v>
      </c>
      <c r="AJ19">
        <v>3908</v>
      </c>
      <c r="AK19">
        <v>4509</v>
      </c>
    </row>
    <row r="20">
      <c r="C20" t="str">
        <v>Facebook</v>
      </c>
      <c r="D20" t="str">
        <v>$</v>
      </c>
      <c r="AE20">
        <v>211</v>
      </c>
      <c r="AF20">
        <f>4134/26*31</f>
        <v>4929</v>
      </c>
      <c r="AG20">
        <v>1084</v>
      </c>
      <c r="AH20">
        <v>679</v>
      </c>
      <c r="AK20">
        <v>998</v>
      </c>
    </row>
    <row r="21">
      <c r="C21" t="str">
        <v>新田（25年11月及之后，如有）</v>
      </c>
      <c r="D21" t="str">
        <v>$</v>
      </c>
    </row>
    <row r="22">
      <c r="C22" t="str">
        <v>电邮</v>
      </c>
    </row>
    <row r="23">
      <c r="B23" t="str">
        <v>QR code+redirect</v>
      </c>
      <c r="C23" t="str">
        <v xml:space="preserve"> - CTG channel</v>
      </c>
      <c r="D23" t="str">
        <v>$</v>
      </c>
      <c r="F23">
        <f>H23</f>
        <v>113226</v>
      </c>
      <c r="H23">
        <f>SUM(Y23:Z23)</f>
        <v>113226</v>
      </c>
      <c r="J23">
        <f>W23</f>
        <v>6511</v>
      </c>
      <c r="K23">
        <f>Z23</f>
        <v>12044</v>
      </c>
      <c r="O23">
        <v>21627</v>
      </c>
      <c r="P23">
        <v>47913</v>
      </c>
      <c r="Q23">
        <v>22049</v>
      </c>
      <c r="R23">
        <f>51868.81</f>
        <v>51868.81</v>
      </c>
      <c r="S23">
        <f>29614.8</f>
        <v>29614.8</v>
      </c>
      <c r="T23">
        <f>SUM(T24:T25)</f>
        <v>8467</v>
      </c>
      <c r="U23">
        <f>SUM(U24:U25)</f>
        <v>11194</v>
      </c>
      <c r="V23">
        <f>SUM(V24:V25)</f>
        <v>10524</v>
      </c>
      <c r="W23">
        <f>SUM(W24:W25)</f>
        <v>6511</v>
      </c>
      <c r="X23">
        <f>SUM(X24:X25)</f>
        <v>7944</v>
      </c>
      <c r="Y23">
        <f>SUM(Y24:Y25)</f>
        <v>10602</v>
      </c>
      <c r="Z23">
        <f>SUM(Z24:Z25)</f>
        <v>12044</v>
      </c>
      <c r="AA23">
        <f>SUM(AA24:AA25)</f>
        <v>7246</v>
      </c>
      <c r="AB23">
        <f>SUM(AB24:AB25)</f>
        <v>3843</v>
      </c>
      <c r="AC23">
        <f>SUM(AC24:AC25)</f>
        <v>1801</v>
      </c>
      <c r="AD23">
        <f>SUM(AD24:AD25)</f>
        <v>3619</v>
      </c>
      <c r="AE23">
        <f>SUM(AE24:AE25)</f>
        <v>2908</v>
      </c>
      <c r="AF23">
        <f>SUM(AF24:AF25)</f>
        <v>2784.0384615384614</v>
      </c>
      <c r="AG23">
        <f>SUM(AG24:AG25)</f>
        <v>1790</v>
      </c>
      <c r="AH23">
        <f>SUM(AH24:AH25)</f>
        <v>2462</v>
      </c>
      <c r="AI23">
        <f>SUM(AI24:AI25)</f>
        <v>531</v>
      </c>
      <c r="AJ23">
        <f>SUM(AJ24:AJ25)</f>
        <v>679</v>
      </c>
      <c r="AK23">
        <f>SUM(AK24:AK25)</f>
        <v>1764</v>
      </c>
      <c r="AL23">
        <f>SUM(AL24:AL25)</f>
        <v>0</v>
      </c>
      <c r="AM23">
        <f>SUM(AM24:AM25)</f>
        <v>0</v>
      </c>
      <c r="AN23">
        <f>SUM(AN24:AN25)</f>
        <v>0</v>
      </c>
      <c r="AO23">
        <f>SUM(AO24:AO25)</f>
        <v>0</v>
      </c>
      <c r="AP23">
        <f>SUM(AP24:AP25)</f>
        <v>0</v>
      </c>
      <c r="AQ23">
        <f>SUM(AQ24:AQ25)</f>
        <v>0</v>
      </c>
      <c r="AR23">
        <f>SUM(AR24:AR25)</f>
        <v>0</v>
      </c>
      <c r="AS23">
        <f>SUM(AS24:AS25)</f>
        <v>0</v>
      </c>
      <c r="AT23">
        <f>SUM(AT24:AT25)</f>
        <v>0</v>
      </c>
      <c r="AU23">
        <f>SUM(AU24:AU25)</f>
        <v>0</v>
      </c>
      <c r="AV23">
        <f>SUM(AV24:AV25)</f>
        <v>0</v>
      </c>
    </row>
    <row r="24">
      <c r="C24" t="str">
        <v>天水围</v>
      </c>
      <c r="D24" t="str">
        <v>$</v>
      </c>
      <c r="T24">
        <v>1824</v>
      </c>
      <c r="U24">
        <v>1739</v>
      </c>
      <c r="V24">
        <v>3142</v>
      </c>
      <c r="W24">
        <v>2548</v>
      </c>
      <c r="X24">
        <v>4329</v>
      </c>
      <c r="Y24">
        <v>1454</v>
      </c>
      <c r="Z24">
        <v>2632</v>
      </c>
      <c r="AA24">
        <v>3530</v>
      </c>
      <c r="AB24">
        <v>3843</v>
      </c>
      <c r="AC24">
        <v>1801</v>
      </c>
      <c r="AD24">
        <v>3619</v>
      </c>
      <c r="AE24">
        <v>2908</v>
      </c>
      <c r="AF24">
        <f>2335/26*31</f>
        <v>2784.0384615384614</v>
      </c>
      <c r="AG24">
        <v>1023</v>
      </c>
      <c r="AH24">
        <v>2462</v>
      </c>
      <c r="AI24">
        <v>531</v>
      </c>
      <c r="AJ24">
        <v>679</v>
      </c>
      <c r="AK24">
        <v>1764</v>
      </c>
    </row>
    <row r="25">
      <c r="C25" t="str">
        <v>新田（25年10月及之前）</v>
      </c>
      <c r="D25" t="str">
        <v>$</v>
      </c>
      <c r="T25">
        <v>6643</v>
      </c>
      <c r="U25">
        <v>9455</v>
      </c>
      <c r="V25">
        <v>7382</v>
      </c>
      <c r="W25">
        <v>3963</v>
      </c>
      <c r="X25">
        <v>3615</v>
      </c>
      <c r="Y25">
        <v>9148</v>
      </c>
      <c r="Z25">
        <v>9412</v>
      </c>
      <c r="AA25">
        <v>3716</v>
      </c>
      <c r="AG25">
        <v>767</v>
      </c>
    </row>
    <row r="26">
      <c r="C26" t="str">
        <v>等效先认产品</v>
      </c>
      <c r="AK26">
        <f>AK27+AK34</f>
        <v>0</v>
      </c>
      <c r="AL26">
        <f>AL27+AL34</f>
        <v>24793</v>
      </c>
      <c r="AM26">
        <f>AM27+AM34</f>
        <v>43579</v>
      </c>
      <c r="AN26">
        <f>AN27+AN34</f>
        <v>48242</v>
      </c>
      <c r="AO26">
        <f>AO27+AO34</f>
        <v>61082</v>
      </c>
      <c r="AP26">
        <f>AP27+AP34</f>
        <v>57614</v>
      </c>
      <c r="AQ26">
        <f>AQ27+AQ34</f>
        <v>62434</v>
      </c>
      <c r="AR26">
        <f>AR27+AR34</f>
        <v>0</v>
      </c>
      <c r="AS26">
        <f>AS27+AS34</f>
        <v>0</v>
      </c>
      <c r="AT26">
        <f>AT27+AT34</f>
        <v>0</v>
      </c>
      <c r="AU26">
        <f>AU27+AU34</f>
        <v>0</v>
      </c>
      <c r="AV26">
        <f>AV27+AV34</f>
        <v>0</v>
      </c>
    </row>
    <row r="27">
      <c r="B27" t="str">
        <v>Webpage, organic, SEM</v>
      </c>
      <c r="C27" t="str">
        <v xml:space="preserve"> - Online channel</v>
      </c>
      <c r="D27" t="str">
        <v>$</v>
      </c>
      <c r="AK27">
        <f>SUM(AK28:AK33)</f>
        <v>0</v>
      </c>
      <c r="AL27">
        <f>SUM(AL28:AL33)</f>
        <v>24440</v>
      </c>
      <c r="AM27">
        <f>SUM(AM28:AM33)</f>
        <v>42297</v>
      </c>
      <c r="AN27">
        <f>SUM(AN28:AN33)</f>
        <v>47795</v>
      </c>
      <c r="AO27">
        <f>SUM(AO28:AO33)</f>
        <v>60729</v>
      </c>
      <c r="AP27">
        <f>SUM(AP28:AP33)</f>
        <v>56487</v>
      </c>
      <c r="AQ27">
        <f>SUM(AQ28:AQ33)</f>
        <v>61515</v>
      </c>
      <c r="AR27">
        <f>SUM(AR28:AR33)</f>
        <v>0</v>
      </c>
      <c r="AS27">
        <f>SUM(AS28:AS33)</f>
        <v>0</v>
      </c>
      <c r="AT27">
        <f>SUM(AT28:AT33)</f>
        <v>0</v>
      </c>
      <c r="AU27">
        <f>SUM(AU28:AU33)</f>
        <v>0</v>
      </c>
      <c r="AV27">
        <f>SUM(AV28:AV33)</f>
        <v>0</v>
      </c>
    </row>
    <row r="28">
      <c r="C28" t="str">
        <v>官网</v>
      </c>
      <c r="D28" t="str">
        <v>$</v>
      </c>
      <c r="AL28">
        <v>9841</v>
      </c>
      <c r="AM28">
        <v>12616</v>
      </c>
      <c r="AN28">
        <v>4079</v>
      </c>
      <c r="AO28">
        <v>10839</v>
      </c>
      <c r="AP28">
        <v>10454</v>
      </c>
      <c r="AQ28">
        <v>8768</v>
      </c>
    </row>
    <row r="29">
      <c r="C29" t="str">
        <v>谷歌SEM</v>
      </c>
      <c r="D29" t="str">
        <v>$</v>
      </c>
      <c r="AL29">
        <v>1502</v>
      </c>
      <c r="AM29">
        <v>23742</v>
      </c>
      <c r="AN29">
        <v>27956</v>
      </c>
      <c r="AO29">
        <v>24338</v>
      </c>
      <c r="AP29">
        <v>18623</v>
      </c>
      <c r="AQ29">
        <v>28558</v>
      </c>
    </row>
    <row r="30">
      <c r="C30" t="str">
        <v>验车网站</v>
      </c>
      <c r="D30" t="str">
        <v>$</v>
      </c>
      <c r="AL30">
        <v>11506</v>
      </c>
      <c r="AM30">
        <v>3132</v>
      </c>
      <c r="AN30">
        <v>10780</v>
      </c>
      <c r="AO30">
        <v>22420</v>
      </c>
      <c r="AP30">
        <v>23494</v>
      </c>
      <c r="AQ30">
        <v>20743</v>
      </c>
    </row>
    <row r="31">
      <c r="C31" t="str">
        <v>Facebook</v>
      </c>
      <c r="D31" t="str">
        <v>$</v>
      </c>
      <c r="AL31">
        <v>755</v>
      </c>
      <c r="AM31">
        <v>2807</v>
      </c>
      <c r="AN31">
        <v>2474</v>
      </c>
      <c r="AO31">
        <v>2245</v>
      </c>
      <c r="AP31">
        <v>1202</v>
      </c>
      <c r="AQ31">
        <v>2313</v>
      </c>
    </row>
    <row r="32">
      <c r="C32" t="str">
        <v>新田（25年11月及之后，如有）</v>
      </c>
      <c r="D32" t="str">
        <v>$</v>
      </c>
      <c r="AL32">
        <v>836</v>
      </c>
    </row>
    <row r="33">
      <c r="C33" t="str">
        <v>电邮</v>
      </c>
      <c r="AN33">
        <v>2506</v>
      </c>
      <c r="AO33">
        <v>887</v>
      </c>
      <c r="AP33">
        <v>2714</v>
      </c>
      <c r="AQ33">
        <v>1133</v>
      </c>
    </row>
    <row r="34">
      <c r="B34" t="str">
        <v>QR code+redirect</v>
      </c>
      <c r="C34" t="str">
        <v xml:space="preserve"> - CTG channel</v>
      </c>
      <c r="D34" t="str">
        <v>$</v>
      </c>
      <c r="AL34">
        <f>SUM(AL35:AL36)</f>
        <v>353</v>
      </c>
      <c r="AM34">
        <f>SUM(AM35:AM36)</f>
        <v>1282</v>
      </c>
      <c r="AN34">
        <f>SUM(AN35:AN36)</f>
        <v>447</v>
      </c>
      <c r="AO34">
        <f>SUM(AO35:AO36)</f>
        <v>353</v>
      </c>
      <c r="AP34">
        <f>SUM(AP35:AP36)</f>
        <v>1127</v>
      </c>
      <c r="AQ34">
        <f>SUM(AQ35:AQ36)</f>
        <v>919</v>
      </c>
      <c r="AR34">
        <f>SUM(AR35:AR36)</f>
        <v>0</v>
      </c>
      <c r="AS34">
        <f>SUM(AS35:AS36)</f>
        <v>0</v>
      </c>
      <c r="AT34">
        <f>SUM(AT35:AT36)</f>
        <v>0</v>
      </c>
      <c r="AU34">
        <f>SUM(AU35:AU36)</f>
        <v>0</v>
      </c>
      <c r="AV34">
        <f>SUM(AV35:AV36)</f>
        <v>0</v>
      </c>
    </row>
    <row r="35">
      <c r="C35" t="str">
        <v>天水围</v>
      </c>
      <c r="D35" t="str">
        <v>$</v>
      </c>
      <c r="AL35">
        <v>353</v>
      </c>
      <c r="AM35">
        <v>1282</v>
      </c>
      <c r="AN35">
        <v>447</v>
      </c>
      <c r="AO35">
        <v>353</v>
      </c>
      <c r="AP35">
        <v>1127</v>
      </c>
      <c r="AQ35">
        <v>919</v>
      </c>
    </row>
    <row r="36">
      <c r="C36" t="str">
        <v>新田（25年10月及之前）</v>
      </c>
      <c r="D36" t="str">
        <v>$</v>
      </c>
    </row>
    <row r="37">
      <c r="C37" t="str">
        <v>Taiping Product-RN</v>
      </c>
      <c r="D37" t="str">
        <v>$</v>
      </c>
      <c r="T37">
        <f>T39+T46</f>
        <v>0</v>
      </c>
      <c r="U37">
        <f>U39+U46</f>
        <v>0</v>
      </c>
      <c r="V37">
        <f>V39+V46</f>
        <v>13449</v>
      </c>
      <c r="W37">
        <f>W39+W46</f>
        <v>6644</v>
      </c>
      <c r="X37">
        <f>X39+X46</f>
        <v>24831</v>
      </c>
      <c r="Y37">
        <f>Y39+Y46</f>
        <v>28435</v>
      </c>
      <c r="Z37">
        <f>Z39+Z46</f>
        <v>22134</v>
      </c>
      <c r="AA37">
        <f>AA39+AA46</f>
        <v>16270</v>
      </c>
      <c r="AB37">
        <f>AB39+AB46</f>
        <v>8730</v>
      </c>
      <c r="AC37">
        <f>AC39+AC46</f>
        <v>5947</v>
      </c>
      <c r="AD37">
        <f>AD39+AD46</f>
        <v>4760</v>
      </c>
      <c r="AE37">
        <f>AE39+AE46</f>
        <v>20760</v>
      </c>
      <c r="AF37">
        <f>AF39+AF46</f>
        <v>26236</v>
      </c>
      <c r="AG37">
        <f>AG39+AG46</f>
        <v>13154</v>
      </c>
      <c r="AH37">
        <f>AH39+AH46</f>
        <v>20047</v>
      </c>
      <c r="AI37">
        <f>AI39+AI46</f>
        <v>29026</v>
      </c>
      <c r="AJ37">
        <f>AJ39+AJ46</f>
        <v>45081</v>
      </c>
      <c r="AK37">
        <f>AK38+AK49</f>
        <v>42899</v>
      </c>
      <c r="AL37">
        <f>AL38+AL49</f>
        <v>21586</v>
      </c>
      <c r="AM37">
        <f>AM38+AM49</f>
        <v>24406</v>
      </c>
      <c r="AN37">
        <f>AN38+AN49</f>
        <v>18459</v>
      </c>
      <c r="AO37">
        <f>AO38+AO49</f>
        <v>15943</v>
      </c>
      <c r="AP37">
        <f>AP38+AP49</f>
        <v>22894</v>
      </c>
      <c r="AQ37">
        <f>AQ38+AQ49</f>
        <v>16035</v>
      </c>
      <c r="AR37">
        <f>AR38+AR49</f>
        <v>0</v>
      </c>
      <c r="AS37">
        <f>AS38+AS49</f>
        <v>0</v>
      </c>
      <c r="AT37">
        <f>AT38+AT49</f>
        <v>0</v>
      </c>
      <c r="AU37">
        <f>AU38+AU49</f>
        <v>0</v>
      </c>
      <c r="AV37">
        <f>AV38+AV49</f>
        <v>0</v>
      </c>
    </row>
    <row r="38">
      <c r="C38" t="str">
        <v>一站式产品</v>
      </c>
      <c r="V38">
        <f>V39+V46</f>
        <v>13449</v>
      </c>
      <c r="W38">
        <f>W39+W46</f>
        <v>6644</v>
      </c>
      <c r="X38">
        <f>X39+X46</f>
        <v>24831</v>
      </c>
      <c r="Y38">
        <f>Y39+Y46</f>
        <v>28435</v>
      </c>
      <c r="Z38">
        <f>Z39+Z46</f>
        <v>22134</v>
      </c>
      <c r="AA38">
        <f>AA39+AA46</f>
        <v>16270</v>
      </c>
      <c r="AB38">
        <f>AB39+AB46</f>
        <v>8730</v>
      </c>
      <c r="AC38">
        <f>AC39+AC46</f>
        <v>5947</v>
      </c>
      <c r="AD38">
        <f>AD39+AD46</f>
        <v>4760</v>
      </c>
      <c r="AE38">
        <f>AE39+AE46</f>
        <v>20760</v>
      </c>
      <c r="AF38">
        <f>AF39+AF46</f>
        <v>26236</v>
      </c>
      <c r="AG38">
        <f>AG39+AG46</f>
        <v>13154</v>
      </c>
      <c r="AH38">
        <f>AH39+AH46</f>
        <v>20047</v>
      </c>
      <c r="AI38">
        <f>AI39+AI46</f>
        <v>29026</v>
      </c>
      <c r="AJ38">
        <f>AJ39+AJ46</f>
        <v>45081</v>
      </c>
      <c r="AK38">
        <f>AK39+AK46</f>
        <v>42899</v>
      </c>
      <c r="AL38">
        <f>AL39+AL46</f>
        <v>21586</v>
      </c>
      <c r="AM38">
        <f>AM39+AM46</f>
        <v>24406</v>
      </c>
      <c r="AN38">
        <f>AN39+AN46</f>
        <v>18459</v>
      </c>
      <c r="AO38">
        <f>AO39+AO46</f>
        <v>15943</v>
      </c>
      <c r="AP38">
        <f>AP39+AP46</f>
        <v>22894</v>
      </c>
      <c r="AQ38">
        <f>AQ39+AQ46</f>
        <v>16035</v>
      </c>
      <c r="AR38">
        <f>AR39+AR46</f>
        <v>0</v>
      </c>
      <c r="AS38">
        <f>AS39+AS46</f>
        <v>0</v>
      </c>
      <c r="AT38">
        <f>AT39+AT46</f>
        <v>0</v>
      </c>
      <c r="AU38">
        <f>AU39+AU46</f>
        <v>0</v>
      </c>
      <c r="AV38">
        <f>AV39+AV46</f>
        <v>0</v>
      </c>
    </row>
    <row r="39">
      <c r="B39" t="str">
        <v>Webpage, organic, SEM</v>
      </c>
      <c r="C39" t="str">
        <v xml:space="preserve"> - Online channel</v>
      </c>
      <c r="D39" t="str">
        <v>$</v>
      </c>
      <c r="T39">
        <f>SUM(T40:T43)</f>
        <v>0</v>
      </c>
      <c r="U39">
        <f>SUM(U40:U43)</f>
        <v>0</v>
      </c>
      <c r="V39">
        <f>SUM(V40:V45)</f>
        <v>11432</v>
      </c>
      <c r="W39">
        <f>SUM(W40:W45)</f>
        <v>5647</v>
      </c>
      <c r="X39">
        <f>SUM(X40:X45)</f>
        <v>21106</v>
      </c>
      <c r="Y39">
        <f>SUM(Y40:Y45)</f>
        <v>24170</v>
      </c>
      <c r="Z39">
        <f>SUM(Z40:Z45)</f>
        <v>18814</v>
      </c>
      <c r="AA39">
        <f>SUM(AA40:AA45)</f>
        <v>13830</v>
      </c>
      <c r="AB39">
        <f>SUM(AB40:AB45)</f>
        <v>7420</v>
      </c>
      <c r="AC39">
        <f>SUM(AC40:AC45)</f>
        <v>5055</v>
      </c>
      <c r="AD39">
        <f>SUM(AD40:AD45)</f>
        <v>4046</v>
      </c>
      <c r="AE39">
        <f>SUM(AE40:AE45)</f>
        <v>17646</v>
      </c>
      <c r="AF39">
        <f>SUM(AF40:AF45)</f>
        <v>22301</v>
      </c>
      <c r="AG39">
        <f>SUM(AG40:AG45)</f>
        <v>11181</v>
      </c>
      <c r="AH39">
        <f>SUM(AH40:AH45)</f>
        <v>17040</v>
      </c>
      <c r="AI39">
        <f>SUM(AI40:AI45)</f>
        <v>26414</v>
      </c>
      <c r="AJ39">
        <f>SUM(AJ40:AJ45)</f>
        <v>41024</v>
      </c>
      <c r="AK39">
        <f>SUM(AK40:AK45)</f>
        <v>39038</v>
      </c>
      <c r="AL39">
        <f>SUM(AL40:AL45)</f>
        <v>19643</v>
      </c>
      <c r="AM39">
        <f>SUM(AM40:AM45)</f>
        <v>22209</v>
      </c>
      <c r="AN39">
        <f>SUM(AN40:AN45)</f>
        <v>16798</v>
      </c>
      <c r="AO39">
        <f>SUM(AO40:AO45)</f>
        <v>14508</v>
      </c>
      <c r="AP39">
        <f>SUM(AP40:AP45)</f>
        <v>20834</v>
      </c>
      <c r="AQ39">
        <f>SUM(AQ40:AQ45)</f>
        <v>14592</v>
      </c>
      <c r="AR39">
        <f>SUM(AR40:AR45)</f>
        <v>0</v>
      </c>
      <c r="AS39">
        <f>SUM(AS40:AS45)</f>
        <v>0</v>
      </c>
      <c r="AT39">
        <f>SUM(AT40:AT45)</f>
        <v>0</v>
      </c>
      <c r="AU39">
        <f>SUM(AU40:AU45)</f>
        <v>0</v>
      </c>
      <c r="AV39">
        <f>SUM(AV40:AV45)</f>
        <v>0</v>
      </c>
    </row>
    <row r="40">
      <c r="C40" t="str">
        <v>官网</v>
      </c>
      <c r="D40" t="str">
        <v>$</v>
      </c>
      <c r="V40">
        <v>2286</v>
      </c>
      <c r="W40">
        <v>1129</v>
      </c>
      <c r="X40">
        <v>4221</v>
      </c>
      <c r="Y40">
        <v>4834</v>
      </c>
      <c r="Z40">
        <v>3763</v>
      </c>
      <c r="AA40">
        <v>2766</v>
      </c>
      <c r="AB40">
        <v>1484</v>
      </c>
      <c r="AC40">
        <v>1011</v>
      </c>
      <c r="AD40">
        <v>809</v>
      </c>
      <c r="AE40">
        <v>3529</v>
      </c>
      <c r="AF40">
        <v>4460</v>
      </c>
      <c r="AG40">
        <v>2236</v>
      </c>
      <c r="AH40">
        <v>3408</v>
      </c>
      <c r="AI40">
        <v>4934</v>
      </c>
      <c r="AJ40">
        <v>7664</v>
      </c>
      <c r="AK40">
        <v>7293</v>
      </c>
      <c r="AL40">
        <v>3670</v>
      </c>
      <c r="AM40">
        <v>4149</v>
      </c>
      <c r="AN40">
        <v>3138</v>
      </c>
      <c r="AO40">
        <v>2710</v>
      </c>
      <c r="AP40">
        <v>3892</v>
      </c>
      <c r="AQ40">
        <v>2726</v>
      </c>
    </row>
    <row r="41">
      <c r="C41" t="str">
        <v>谷歌SEM</v>
      </c>
      <c r="D41" t="str">
        <v>$</v>
      </c>
      <c r="V41">
        <v>3430</v>
      </c>
      <c r="W41">
        <v>1694</v>
      </c>
      <c r="X41">
        <v>6332</v>
      </c>
      <c r="Y41">
        <v>7251</v>
      </c>
      <c r="Z41">
        <v>5644</v>
      </c>
      <c r="AA41">
        <v>4149</v>
      </c>
      <c r="AB41">
        <v>2226</v>
      </c>
      <c r="AC41">
        <v>1517</v>
      </c>
      <c r="AD41">
        <v>1214</v>
      </c>
      <c r="AE41">
        <v>5294</v>
      </c>
      <c r="AF41">
        <v>6690</v>
      </c>
      <c r="AG41">
        <v>3354</v>
      </c>
      <c r="AH41">
        <v>5112</v>
      </c>
      <c r="AI41">
        <v>7402</v>
      </c>
      <c r="AJ41">
        <v>11496</v>
      </c>
      <c r="AK41">
        <v>10939</v>
      </c>
      <c r="AL41">
        <v>5504</v>
      </c>
      <c r="AM41">
        <v>6223</v>
      </c>
      <c r="AN41">
        <v>4707</v>
      </c>
      <c r="AO41">
        <v>4065</v>
      </c>
      <c r="AP41">
        <v>5838</v>
      </c>
      <c r="AQ41">
        <v>4089</v>
      </c>
    </row>
    <row r="42">
      <c r="C42" t="str">
        <v>验车网站</v>
      </c>
      <c r="D42" t="str">
        <v>$</v>
      </c>
      <c r="V42">
        <v>1715</v>
      </c>
      <c r="W42">
        <v>847</v>
      </c>
      <c r="X42">
        <v>3166</v>
      </c>
      <c r="Y42">
        <v>3626</v>
      </c>
      <c r="Z42">
        <v>2822</v>
      </c>
      <c r="AA42">
        <v>2074</v>
      </c>
      <c r="AB42">
        <v>1113</v>
      </c>
      <c r="AC42">
        <v>758</v>
      </c>
      <c r="AD42">
        <v>607</v>
      </c>
      <c r="AE42">
        <v>2647</v>
      </c>
      <c r="AF42">
        <v>3345</v>
      </c>
      <c r="AG42">
        <v>1677</v>
      </c>
      <c r="AH42">
        <v>2556</v>
      </c>
      <c r="AI42">
        <v>3701</v>
      </c>
      <c r="AJ42">
        <v>5748</v>
      </c>
      <c r="AK42">
        <v>5470</v>
      </c>
      <c r="AL42">
        <v>2752</v>
      </c>
      <c r="AM42">
        <v>3112</v>
      </c>
      <c r="AN42">
        <v>2353</v>
      </c>
      <c r="AO42">
        <v>2033</v>
      </c>
      <c r="AP42">
        <v>2919</v>
      </c>
      <c r="AQ42">
        <v>2044</v>
      </c>
    </row>
    <row r="43">
      <c r="C43" t="str">
        <v>Facebook</v>
      </c>
      <c r="D43" t="str">
        <v>$</v>
      </c>
      <c r="V43">
        <v>229</v>
      </c>
      <c r="W43">
        <v>113</v>
      </c>
      <c r="X43">
        <v>422</v>
      </c>
      <c r="Y43">
        <v>483</v>
      </c>
      <c r="Z43">
        <v>376</v>
      </c>
      <c r="AA43">
        <v>277</v>
      </c>
      <c r="AB43">
        <v>148</v>
      </c>
      <c r="AC43">
        <v>101</v>
      </c>
      <c r="AD43">
        <v>81</v>
      </c>
      <c r="AE43">
        <v>353</v>
      </c>
      <c r="AF43">
        <v>446</v>
      </c>
      <c r="AG43">
        <v>224</v>
      </c>
      <c r="AH43">
        <v>341</v>
      </c>
      <c r="AI43">
        <v>493</v>
      </c>
      <c r="AJ43">
        <v>766</v>
      </c>
      <c r="AK43">
        <v>729</v>
      </c>
      <c r="AL43">
        <v>367</v>
      </c>
      <c r="AM43">
        <v>415</v>
      </c>
      <c r="AN43">
        <v>314</v>
      </c>
      <c r="AO43">
        <v>271</v>
      </c>
      <c r="AP43">
        <v>389</v>
      </c>
      <c r="AQ43">
        <v>273</v>
      </c>
    </row>
    <row r="44">
      <c r="C44" t="str">
        <v>新田（25年11月及之后，如有）</v>
      </c>
      <c r="D44" t="str">
        <v>$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1742</v>
      </c>
      <c r="AJ44">
        <v>2705</v>
      </c>
      <c r="AK44">
        <v>2574</v>
      </c>
      <c r="AL44">
        <v>1295</v>
      </c>
      <c r="AM44">
        <v>1464</v>
      </c>
      <c r="AN44">
        <v>1108</v>
      </c>
      <c r="AO44">
        <v>957</v>
      </c>
      <c r="AP44">
        <v>1374</v>
      </c>
      <c r="AQ44">
        <v>962</v>
      </c>
    </row>
    <row r="45">
      <c r="C45" t="str">
        <v>电邮</v>
      </c>
      <c r="V45">
        <v>3772</v>
      </c>
      <c r="W45">
        <v>1864</v>
      </c>
      <c r="X45">
        <v>6965</v>
      </c>
      <c r="Y45">
        <v>7976</v>
      </c>
      <c r="Z45">
        <v>6209</v>
      </c>
      <c r="AA45">
        <v>4564</v>
      </c>
      <c r="AB45">
        <v>2449</v>
      </c>
      <c r="AC45">
        <v>1668</v>
      </c>
      <c r="AD45">
        <v>1335</v>
      </c>
      <c r="AE45">
        <v>5823</v>
      </c>
      <c r="AF45">
        <v>7360</v>
      </c>
      <c r="AG45">
        <v>3690</v>
      </c>
      <c r="AH45">
        <v>5623</v>
      </c>
      <c r="AI45">
        <v>8142</v>
      </c>
      <c r="AJ45">
        <v>12645</v>
      </c>
      <c r="AK45">
        <v>12033</v>
      </c>
      <c r="AL45">
        <v>6055</v>
      </c>
      <c r="AM45">
        <v>6846</v>
      </c>
      <c r="AN45">
        <v>5178</v>
      </c>
      <c r="AO45">
        <v>4472</v>
      </c>
      <c r="AP45">
        <v>6422</v>
      </c>
      <c r="AQ45">
        <v>4498</v>
      </c>
    </row>
    <row r="46">
      <c r="B46" t="str">
        <v>QR code+redirect</v>
      </c>
      <c r="C46" t="str">
        <v xml:space="preserve"> - CTG channel</v>
      </c>
      <c r="D46" t="str">
        <v>$</v>
      </c>
      <c r="T46">
        <f>SUM(T47:T48)</f>
        <v>0</v>
      </c>
      <c r="U46">
        <f>SUM(U47:U48)</f>
        <v>0</v>
      </c>
      <c r="V46">
        <f>SUM(V47:V48)</f>
        <v>2017</v>
      </c>
      <c r="W46">
        <f>SUM(W47:W48)</f>
        <v>997</v>
      </c>
      <c r="X46">
        <f>SUM(X47:X48)</f>
        <v>3725</v>
      </c>
      <c r="Y46">
        <f>SUM(Y47:Y48)</f>
        <v>4265</v>
      </c>
      <c r="Z46">
        <f>SUM(Z47:Z48)</f>
        <v>3320</v>
      </c>
      <c r="AA46">
        <f>SUM(AA47:AA48)</f>
        <v>2440</v>
      </c>
      <c r="AB46">
        <f>SUM(AB47:AB48)</f>
        <v>1310</v>
      </c>
      <c r="AC46">
        <f>SUM(AC47:AC48)</f>
        <v>892</v>
      </c>
      <c r="AD46">
        <f>SUM(AD47:AD48)</f>
        <v>714</v>
      </c>
      <c r="AE46">
        <f>SUM(AE47:AE48)</f>
        <v>3114</v>
      </c>
      <c r="AF46">
        <f>SUM(AF47:AF48)</f>
        <v>3935</v>
      </c>
      <c r="AG46">
        <f>SUM(AG47:AG48)</f>
        <v>1973</v>
      </c>
      <c r="AH46">
        <f>SUM(AH47:AH48)</f>
        <v>3007</v>
      </c>
      <c r="AI46">
        <f>SUM(AI47:AI48)</f>
        <v>2612</v>
      </c>
      <c r="AJ46">
        <f>SUM(AJ47:AJ48)</f>
        <v>4057</v>
      </c>
      <c r="AK46">
        <f>SUM(AK47:AK48)</f>
        <v>3861</v>
      </c>
      <c r="AL46">
        <f>SUM(AL47:AL48)</f>
        <v>1943</v>
      </c>
      <c r="AM46">
        <f>SUM(AM47:AM48)</f>
        <v>2197</v>
      </c>
      <c r="AN46">
        <f>SUM(AN47:AN48)</f>
        <v>1661</v>
      </c>
      <c r="AO46">
        <f>SUM(AO47:AO48)</f>
        <v>1435</v>
      </c>
      <c r="AP46">
        <f>SUM(AP47:AP48)</f>
        <v>2060</v>
      </c>
      <c r="AQ46">
        <f>SUM(AQ47:AQ48)</f>
        <v>1443</v>
      </c>
      <c r="AR46">
        <f>SUM(AR47:AR48)</f>
        <v>0</v>
      </c>
      <c r="AS46">
        <f>SUM(AS47:AS48)</f>
        <v>0</v>
      </c>
      <c r="AT46">
        <f>SUM(AT47:AT48)</f>
        <v>0</v>
      </c>
      <c r="AU46">
        <f>SUM(AU47:AU48)</f>
        <v>0</v>
      </c>
      <c r="AV46">
        <f>SUM(AV47:AV48)</f>
        <v>0</v>
      </c>
    </row>
    <row r="47">
      <c r="C47" t="str">
        <v>天水围</v>
      </c>
      <c r="D47" t="str">
        <v>$</v>
      </c>
      <c r="V47">
        <v>1210</v>
      </c>
      <c r="W47">
        <v>598</v>
      </c>
      <c r="X47">
        <v>2235</v>
      </c>
      <c r="Y47">
        <v>2559</v>
      </c>
      <c r="Z47">
        <v>1992</v>
      </c>
      <c r="AA47">
        <v>1464</v>
      </c>
      <c r="AB47">
        <v>786</v>
      </c>
      <c r="AC47">
        <v>535</v>
      </c>
      <c r="AD47">
        <v>428</v>
      </c>
      <c r="AE47">
        <v>1868</v>
      </c>
      <c r="AF47">
        <v>2361</v>
      </c>
      <c r="AG47">
        <v>1184</v>
      </c>
      <c r="AH47">
        <v>1804</v>
      </c>
      <c r="AI47">
        <v>2612</v>
      </c>
      <c r="AJ47">
        <v>4057</v>
      </c>
      <c r="AK47">
        <v>3861</v>
      </c>
      <c r="AL47">
        <v>1943</v>
      </c>
      <c r="AM47">
        <v>2197</v>
      </c>
      <c r="AN47">
        <v>1661</v>
      </c>
      <c r="AO47">
        <v>1435</v>
      </c>
      <c r="AP47">
        <v>2060</v>
      </c>
      <c r="AQ47">
        <v>1443</v>
      </c>
    </row>
    <row r="48">
      <c r="C48" t="str">
        <v>新田（25年10月及之前）</v>
      </c>
      <c r="D48" t="str">
        <v>$</v>
      </c>
      <c r="V48">
        <v>807</v>
      </c>
      <c r="W48">
        <v>399</v>
      </c>
      <c r="X48">
        <v>1490</v>
      </c>
      <c r="Y48">
        <v>1706</v>
      </c>
      <c r="Z48">
        <v>1328</v>
      </c>
      <c r="AA48">
        <v>976</v>
      </c>
      <c r="AB48">
        <v>524</v>
      </c>
      <c r="AC48">
        <v>357</v>
      </c>
      <c r="AD48">
        <v>286</v>
      </c>
      <c r="AE48">
        <v>1246</v>
      </c>
      <c r="AF48">
        <v>1574</v>
      </c>
      <c r="AG48">
        <v>789</v>
      </c>
      <c r="AH48">
        <v>1203</v>
      </c>
    </row>
    <row r="49">
      <c r="C49" t="str">
        <v>等效先认产品</v>
      </c>
      <c r="AL49">
        <f>AL50+AL57</f>
        <v>0</v>
      </c>
      <c r="AM49">
        <f>AM50+AM57</f>
        <v>0</v>
      </c>
      <c r="AN49">
        <f>AN50+AN57</f>
        <v>0</v>
      </c>
      <c r="AO49">
        <f>AO50+AO57</f>
        <v>0</v>
      </c>
      <c r="AP49">
        <f>AP50+AP57</f>
        <v>0</v>
      </c>
      <c r="AQ49">
        <f>AQ50+AQ57</f>
        <v>0</v>
      </c>
      <c r="AR49">
        <f>AR50+AR57</f>
        <v>0</v>
      </c>
      <c r="AS49">
        <f>AS50+AS57</f>
        <v>0</v>
      </c>
      <c r="AT49">
        <f>AT50+AT57</f>
        <v>0</v>
      </c>
      <c r="AU49">
        <f>AU50+AU57</f>
        <v>0</v>
      </c>
      <c r="AV49">
        <f>AV50+AV57</f>
        <v>0</v>
      </c>
    </row>
    <row r="50">
      <c r="B50" t="str">
        <v>Webpage, organic, SEM</v>
      </c>
      <c r="C50" t="str">
        <v xml:space="preserve"> - Online channel</v>
      </c>
      <c r="D50" t="str">
        <v>$</v>
      </c>
      <c r="AK50">
        <f>SUM(AK51:AK56)</f>
        <v>0</v>
      </c>
      <c r="AL50">
        <f>SUM(AL51:AL56)</f>
        <v>0</v>
      </c>
      <c r="AM50">
        <f>SUM(AM51:AM56)</f>
        <v>0</v>
      </c>
      <c r="AN50">
        <f>SUM(AN51:AN56)</f>
        <v>0</v>
      </c>
      <c r="AO50">
        <f>SUM(AO51:AO56)</f>
        <v>0</v>
      </c>
      <c r="AP50">
        <f>SUM(AP51:AP56)</f>
        <v>0</v>
      </c>
      <c r="AQ50">
        <f>SUM(AQ51:AQ56)</f>
        <v>0</v>
      </c>
      <c r="AR50">
        <f>SUM(AR51:AR56)</f>
        <v>0</v>
      </c>
      <c r="AS50">
        <f>SUM(AS51:AS56)</f>
        <v>0</v>
      </c>
      <c r="AT50">
        <f>SUM(AT51:AT56)</f>
        <v>0</v>
      </c>
      <c r="AU50">
        <f>SUM(AU51:AU56)</f>
        <v>0</v>
      </c>
      <c r="AV50">
        <f>SUM(AV51:AV56)</f>
        <v>0</v>
      </c>
    </row>
    <row r="51">
      <c r="C51" t="str">
        <v>官网</v>
      </c>
      <c r="D51" t="str">
        <v>$</v>
      </c>
    </row>
    <row r="52">
      <c r="C52" t="str">
        <v>谷歌SEM</v>
      </c>
      <c r="D52" t="str">
        <v>$</v>
      </c>
    </row>
    <row r="53">
      <c r="C53" t="str">
        <v>验车网站</v>
      </c>
      <c r="D53" t="str">
        <v>$</v>
      </c>
    </row>
    <row r="54">
      <c r="C54" t="str">
        <v>Facebook</v>
      </c>
      <c r="D54" t="str">
        <v>$</v>
      </c>
    </row>
    <row r="55">
      <c r="C55" t="str">
        <v>新田（25年11月及之后，如有）</v>
      </c>
      <c r="D55" t="str">
        <v>$</v>
      </c>
    </row>
    <row r="56">
      <c r="C56" t="str">
        <v>电邮</v>
      </c>
    </row>
    <row r="57">
      <c r="B57" t="str">
        <v>QR code+redirect</v>
      </c>
      <c r="C57" t="str">
        <v xml:space="preserve"> - CTG channel</v>
      </c>
      <c r="D57" t="str">
        <v>$</v>
      </c>
      <c r="AL57">
        <f>SUM(AL58:AL59)</f>
        <v>0</v>
      </c>
      <c r="AM57">
        <f>SUM(AM58:AM59)</f>
        <v>0</v>
      </c>
      <c r="AN57">
        <f>SUM(AN58:AN59)</f>
        <v>0</v>
      </c>
      <c r="AO57">
        <f>SUM(AO58:AO59)</f>
        <v>0</v>
      </c>
      <c r="AP57">
        <f>SUM(AP58:AP59)</f>
        <v>0</v>
      </c>
      <c r="AQ57">
        <f>SUM(AQ58:AQ59)</f>
        <v>0</v>
      </c>
      <c r="AR57">
        <f>SUM(AR58:AR59)</f>
        <v>0</v>
      </c>
      <c r="AS57">
        <f>SUM(AS58:AS59)</f>
        <v>0</v>
      </c>
      <c r="AT57">
        <f>SUM(AT58:AT59)</f>
        <v>0</v>
      </c>
      <c r="AU57">
        <f>SUM(AU58:AU59)</f>
        <v>0</v>
      </c>
      <c r="AV57">
        <f>SUM(AV58:AV59)</f>
        <v>0</v>
      </c>
    </row>
    <row r="58">
      <c r="C58" t="str">
        <v>天水围</v>
      </c>
      <c r="D58" t="str">
        <v>$</v>
      </c>
    </row>
    <row r="59">
      <c r="C59" t="str">
        <v>新田（25年10月及之前）</v>
      </c>
      <c r="D59" t="str">
        <v>$</v>
      </c>
    </row>
    <row r="60">
      <c r="C60" t="str">
        <v>PICC Product-New Sales</v>
      </c>
      <c r="D60" t="str">
        <v>$</v>
      </c>
      <c r="F60">
        <f>H60</f>
        <v>1529333</v>
      </c>
      <c r="H60">
        <f>SUM(Y60:Z60)</f>
        <v>1529333</v>
      </c>
      <c r="J60">
        <f>W60</f>
        <v>145474</v>
      </c>
      <c r="K60">
        <f>Z60</f>
        <v>159986</v>
      </c>
      <c r="O60">
        <v>468</v>
      </c>
      <c r="P60">
        <v>1548</v>
      </c>
      <c r="Q60">
        <v>112221</v>
      </c>
      <c r="R60">
        <v>138791</v>
      </c>
      <c r="S60">
        <v>187989</v>
      </c>
      <c r="T60">
        <v>163064</v>
      </c>
      <c r="U60">
        <f>U62+U69</f>
        <v>133726</v>
      </c>
      <c r="V60">
        <f>V62+V69</f>
        <v>127531</v>
      </c>
      <c r="W60">
        <f>W62+W69</f>
        <v>145474</v>
      </c>
      <c r="X60">
        <f>X62+X69</f>
        <v>115453</v>
      </c>
      <c r="Y60">
        <f>Y62+Y69</f>
        <v>145881</v>
      </c>
      <c r="Z60">
        <f>Z62+Z69</f>
        <v>159986</v>
      </c>
      <c r="AA60">
        <f>AA62+AA69</f>
        <v>166834</v>
      </c>
      <c r="AB60">
        <f>AB62+AB69</f>
        <v>113279</v>
      </c>
      <c r="AC60">
        <f>AC62+AC69</f>
        <v>101093</v>
      </c>
      <c r="AD60">
        <f>AD62+AD69</f>
        <v>116049</v>
      </c>
      <c r="AE60">
        <f>AE62+AE69</f>
        <v>37629</v>
      </c>
      <c r="AF60">
        <f>AF62+AF69</f>
        <v>506417.1923076923</v>
      </c>
      <c r="AG60">
        <f>AG62+AG69</f>
        <v>56150</v>
      </c>
      <c r="AH60">
        <f>AH62+AH69</f>
        <v>115321</v>
      </c>
      <c r="AI60">
        <f>AI62+AI69</f>
        <v>135976</v>
      </c>
      <c r="AJ60">
        <f>AJ62+AJ69</f>
        <v>124150</v>
      </c>
      <c r="AK60">
        <f>AK61+AK72</f>
        <v>134160</v>
      </c>
      <c r="AL60">
        <f>AL61+AL72</f>
        <v>94323</v>
      </c>
      <c r="AM60">
        <f>AM61+AM72</f>
        <v>158801</v>
      </c>
      <c r="AN60">
        <f>AN61+AN72</f>
        <v>125119</v>
      </c>
      <c r="AO60">
        <f>AO61+AO72</f>
        <v>138945</v>
      </c>
      <c r="AP60">
        <f>AP61+AP72</f>
        <v>134700</v>
      </c>
      <c r="AQ60">
        <f>AQ61+AQ72</f>
        <v>117890</v>
      </c>
      <c r="AR60">
        <f>AR61+AR72</f>
        <v>0</v>
      </c>
      <c r="AS60">
        <f>AS61+AS72</f>
        <v>0</v>
      </c>
      <c r="AT60">
        <f>AT61+AT72</f>
        <v>0</v>
      </c>
      <c r="AU60">
        <f>AU61+AU72</f>
        <v>0</v>
      </c>
      <c r="AV60">
        <f>AV61+AV72</f>
        <v>0</v>
      </c>
    </row>
    <row r="61">
      <c r="C61" t="str">
        <v>一站式产品</v>
      </c>
      <c r="AK61">
        <f>AK62+AK69</f>
        <v>134160</v>
      </c>
      <c r="AL61">
        <f>AL62+AL69</f>
        <v>87240</v>
      </c>
      <c r="AM61">
        <f>AM62+AM69</f>
        <v>122536</v>
      </c>
      <c r="AN61">
        <f>AN62+AN69</f>
        <v>79284</v>
      </c>
      <c r="AO61">
        <f>AO62+AO69</f>
        <v>74887</v>
      </c>
      <c r="AP61">
        <f>AP62+AP69</f>
        <v>78659</v>
      </c>
      <c r="AQ61">
        <f>AQ62+AQ69</f>
        <v>45100</v>
      </c>
      <c r="AR61">
        <f>AR62+AR69</f>
        <v>0</v>
      </c>
      <c r="AS61">
        <f>AS62+AS69</f>
        <v>0</v>
      </c>
      <c r="AT61">
        <f>AT62+AT69</f>
        <v>0</v>
      </c>
      <c r="AU61">
        <f>AU62+AU69</f>
        <v>0</v>
      </c>
      <c r="AV61">
        <f>AV62+AV69</f>
        <v>0</v>
      </c>
    </row>
    <row r="62">
      <c r="C62" t="str">
        <v xml:space="preserve"> - Online channel</v>
      </c>
      <c r="D62" t="str">
        <v>$</v>
      </c>
      <c r="F62">
        <f>H62</f>
        <v>634773</v>
      </c>
      <c r="H62">
        <f>SUM(Y62:Z62)</f>
        <v>634773</v>
      </c>
      <c r="J62">
        <f>W62</f>
        <v>59812</v>
      </c>
      <c r="K62">
        <f>Z62</f>
        <v>65515</v>
      </c>
      <c r="Q62">
        <v>24500</v>
      </c>
      <c r="R62">
        <v>31507</v>
      </c>
      <c r="S62">
        <v>56996</v>
      </c>
      <c r="T62">
        <f>SUM(T63:T66)</f>
        <v>64302</v>
      </c>
      <c r="U62">
        <f>SUM(U63:U66)</f>
        <v>54434</v>
      </c>
      <c r="V62">
        <f>SUM(V63:V66)</f>
        <v>55028</v>
      </c>
      <c r="W62">
        <f>SUM(W63:W66)</f>
        <v>59812</v>
      </c>
      <c r="X62">
        <f>SUM(X63:X66)</f>
        <v>48928</v>
      </c>
      <c r="Y62">
        <f>SUM(Y63:Y66)</f>
        <v>61440</v>
      </c>
      <c r="Z62">
        <f>SUM(Z63:Z66)</f>
        <v>65515</v>
      </c>
      <c r="AA62">
        <f>SUM(AA63:AA66)</f>
        <v>62858</v>
      </c>
      <c r="AB62">
        <f>SUM(AB63:AB66)</f>
        <v>46236</v>
      </c>
      <c r="AC62">
        <f>SUM(AC63:AC66)</f>
        <v>44454</v>
      </c>
      <c r="AD62">
        <f>SUM(AD63:AD66)</f>
        <v>47797</v>
      </c>
      <c r="AE62">
        <f>SUM(AE63:AE66)</f>
        <v>20117</v>
      </c>
      <c r="AF62">
        <f>SUM(AF63:AF66)</f>
        <v>225187.57692307694</v>
      </c>
      <c r="AG62">
        <f>SUM(AG63:AG66)</f>
        <v>19530</v>
      </c>
      <c r="AH62">
        <f>SUM(AH63:AH66)</f>
        <v>29137</v>
      </c>
      <c r="AI62">
        <f>SUM(AI63:AI66)</f>
        <v>25956</v>
      </c>
      <c r="AJ62">
        <f>SUM(AJ63:AJ66)</f>
        <v>21534</v>
      </c>
      <c r="AK62">
        <f>SUM(AK63:AK68)</f>
        <v>13837</v>
      </c>
      <c r="AL62">
        <f>SUM(AL63:AL68)</f>
        <v>2391</v>
      </c>
      <c r="AM62">
        <f>SUM(AM63:AM68)</f>
        <v>20227</v>
      </c>
      <c r="AN62">
        <f>SUM(AN63:AN68)</f>
        <v>2332</v>
      </c>
      <c r="AO62">
        <f>SUM(AO63:AO68)</f>
        <v>2932</v>
      </c>
      <c r="AP62">
        <f>SUM(AP63:AP68)</f>
        <v>2032</v>
      </c>
      <c r="AQ62">
        <f>SUM(AQ63:AQ68)</f>
        <v>3104</v>
      </c>
      <c r="AR62">
        <f>SUM(AR63:AR68)</f>
        <v>0</v>
      </c>
      <c r="AS62">
        <f>SUM(AS63:AS68)</f>
        <v>0</v>
      </c>
      <c r="AT62">
        <f>SUM(AT63:AT68)</f>
        <v>0</v>
      </c>
      <c r="AU62">
        <f>SUM(AU63:AU68)</f>
        <v>0</v>
      </c>
      <c r="AV62">
        <f>SUM(AV63:AV68)</f>
        <v>0</v>
      </c>
    </row>
    <row r="63">
      <c r="C63" t="str">
        <v>官网</v>
      </c>
      <c r="D63" t="str">
        <v>$</v>
      </c>
      <c r="T63">
        <v>42132</v>
      </c>
      <c r="U63">
        <v>36615</v>
      </c>
      <c r="V63">
        <v>37224</v>
      </c>
      <c r="W63">
        <v>35503</v>
      </c>
      <c r="X63">
        <v>32685</v>
      </c>
      <c r="Y63">
        <v>37002</v>
      </c>
      <c r="Z63">
        <v>40850</v>
      </c>
      <c r="AA63">
        <v>40936</v>
      </c>
      <c r="AB63">
        <v>32575</v>
      </c>
      <c r="AC63">
        <v>32637</v>
      </c>
      <c r="AD63">
        <v>39656</v>
      </c>
      <c r="AE63">
        <v>11197</v>
      </c>
      <c r="AF63">
        <f>134686/26*31</f>
        <v>160587.15384615384</v>
      </c>
      <c r="AG63">
        <v>12979</v>
      </c>
      <c r="AH63">
        <v>20527</v>
      </c>
      <c r="AI63">
        <v>16779</v>
      </c>
      <c r="AJ63">
        <v>11515</v>
      </c>
      <c r="AK63">
        <v>6967</v>
      </c>
      <c r="AL63">
        <v>1430</v>
      </c>
      <c r="AM63">
        <v>18965</v>
      </c>
      <c r="AN63">
        <v>1438</v>
      </c>
      <c r="AO63">
        <v>2493</v>
      </c>
      <c r="AP63">
        <v>1097</v>
      </c>
      <c r="AQ63">
        <v>2697</v>
      </c>
    </row>
    <row r="64">
      <c r="C64" t="str">
        <v>谷歌SEM</v>
      </c>
      <c r="D64" t="str">
        <v>$</v>
      </c>
      <c r="T64">
        <v>5383</v>
      </c>
      <c r="U64">
        <v>8857</v>
      </c>
      <c r="V64">
        <v>8568</v>
      </c>
      <c r="W64">
        <v>10713</v>
      </c>
      <c r="X64">
        <v>5581</v>
      </c>
      <c r="Y64">
        <v>14325</v>
      </c>
      <c r="Z64">
        <v>13343</v>
      </c>
      <c r="AA64">
        <v>11708</v>
      </c>
      <c r="AB64">
        <v>6713</v>
      </c>
      <c r="AC64">
        <v>8434</v>
      </c>
      <c r="AD64">
        <v>3547</v>
      </c>
      <c r="AE64">
        <v>5150</v>
      </c>
      <c r="AF64">
        <f>25358/26*31</f>
        <v>30234.53846153846</v>
      </c>
      <c r="AG64">
        <v>4766</v>
      </c>
      <c r="AH64">
        <v>6073</v>
      </c>
      <c r="AI64">
        <v>7306</v>
      </c>
      <c r="AJ64">
        <v>8460</v>
      </c>
      <c r="AK64">
        <v>3844</v>
      </c>
      <c r="AM64">
        <v>889</v>
      </c>
      <c r="AN64">
        <v>456</v>
      </c>
      <c r="AP64">
        <v>935</v>
      </c>
    </row>
    <row r="65">
      <c r="C65" t="str">
        <v>验车网站</v>
      </c>
      <c r="D65" t="str">
        <v>$</v>
      </c>
      <c r="T65">
        <v>16787</v>
      </c>
      <c r="U65">
        <v>8962</v>
      </c>
      <c r="V65">
        <v>9236</v>
      </c>
      <c r="W65">
        <v>13596</v>
      </c>
      <c r="X65">
        <v>10662</v>
      </c>
      <c r="Y65">
        <v>10113</v>
      </c>
      <c r="Z65">
        <v>11322</v>
      </c>
      <c r="AA65">
        <v>10214</v>
      </c>
      <c r="AB65">
        <v>6948</v>
      </c>
      <c r="AC65">
        <v>3383</v>
      </c>
      <c r="AD65">
        <v>4594</v>
      </c>
      <c r="AE65">
        <v>3770</v>
      </c>
      <c r="AF65">
        <f>28823/26*31</f>
        <v>34365.88461538462</v>
      </c>
      <c r="AG65">
        <v>1347</v>
      </c>
      <c r="AH65">
        <v>2537</v>
      </c>
      <c r="AI65">
        <v>1871</v>
      </c>
      <c r="AJ65">
        <v>1559</v>
      </c>
      <c r="AK65">
        <v>2572</v>
      </c>
      <c r="AL65">
        <v>961</v>
      </c>
      <c r="AM65">
        <v>373</v>
      </c>
      <c r="AO65">
        <v>439</v>
      </c>
      <c r="AQ65">
        <v>407</v>
      </c>
    </row>
    <row r="66">
      <c r="C66" t="str">
        <v>Facebook</v>
      </c>
      <c r="D66" t="str">
        <v>$</v>
      </c>
      <c r="AG66">
        <v>438</v>
      </c>
      <c r="AK66">
        <v>454</v>
      </c>
    </row>
    <row r="67">
      <c r="C67" t="str">
        <v>新田（25年11月及之后，如有）</v>
      </c>
      <c r="D67" t="str">
        <v>$</v>
      </c>
    </row>
    <row r="68">
      <c r="C68" t="str">
        <v>电邮</v>
      </c>
      <c r="AN68">
        <v>438</v>
      </c>
    </row>
    <row r="69">
      <c r="C69" t="str">
        <v xml:space="preserve"> - CTG channel</v>
      </c>
      <c r="D69" t="str">
        <v>$</v>
      </c>
      <c r="F69">
        <f>H69</f>
        <v>894560</v>
      </c>
      <c r="H69">
        <f>SUM(Y69:Z69)</f>
        <v>894560</v>
      </c>
      <c r="J69">
        <f>W69</f>
        <v>85662</v>
      </c>
      <c r="K69">
        <f>Z69</f>
        <v>94471</v>
      </c>
      <c r="Q69">
        <v>87721</v>
      </c>
      <c r="R69">
        <v>107284</v>
      </c>
      <c r="S69">
        <v>130993</v>
      </c>
      <c r="T69">
        <f>SUM(T70:T71)</f>
        <v>98763</v>
      </c>
      <c r="U69">
        <f>SUM(U70:U71)</f>
        <v>79292</v>
      </c>
      <c r="V69">
        <f>SUM(V70:V71)</f>
        <v>72503</v>
      </c>
      <c r="W69">
        <f>SUM(W70:W71)</f>
        <v>85662</v>
      </c>
      <c r="X69">
        <f>SUM(X70:X71)</f>
        <v>66525</v>
      </c>
      <c r="Y69">
        <f>SUM(Y70:Y71)</f>
        <v>84441</v>
      </c>
      <c r="Z69">
        <f>SUM(Z70:Z71)</f>
        <v>94471</v>
      </c>
      <c r="AA69">
        <f>SUM(AA70:AA71)</f>
        <v>103976</v>
      </c>
      <c r="AB69">
        <f>SUM(AB70:AB71)</f>
        <v>67043</v>
      </c>
      <c r="AC69">
        <f>SUM(AC70:AC71)</f>
        <v>56639</v>
      </c>
      <c r="AD69">
        <f>SUM(AD70:AD71)</f>
        <v>68252</v>
      </c>
      <c r="AE69">
        <f>SUM(AE70:AE71)</f>
        <v>17512</v>
      </c>
      <c r="AF69">
        <f>SUM(AF70:AF71)</f>
        <v>281229.6153846154</v>
      </c>
      <c r="AG69">
        <f>SUM(AG70:AG71)</f>
        <v>36620</v>
      </c>
      <c r="AH69">
        <f>SUM(AH70:AH71)</f>
        <v>86184</v>
      </c>
      <c r="AI69">
        <f>SUM(AI70:AI71)</f>
        <v>110020</v>
      </c>
      <c r="AJ69">
        <f>SUM(AJ70:AJ71)</f>
        <v>102616</v>
      </c>
      <c r="AK69">
        <f>SUM(AK70:AK71)</f>
        <v>120323</v>
      </c>
      <c r="AL69">
        <f>SUM(AL70:AL71)</f>
        <v>84849</v>
      </c>
      <c r="AM69">
        <f>SUM(AM70:AM71)</f>
        <v>102309</v>
      </c>
      <c r="AN69">
        <f>SUM(AN70:AN71)</f>
        <v>76952</v>
      </c>
      <c r="AO69">
        <f>SUM(AO70:AO71)</f>
        <v>71955</v>
      </c>
      <c r="AP69">
        <f>SUM(AP70:AP71)</f>
        <v>76627</v>
      </c>
      <c r="AQ69">
        <f>SUM(AQ70:AQ71)</f>
        <v>41996</v>
      </c>
      <c r="AR69">
        <f>SUM(AR70:AR71)</f>
        <v>0</v>
      </c>
      <c r="AS69">
        <f>SUM(AS70:AS71)</f>
        <v>0</v>
      </c>
      <c r="AT69">
        <f>SUM(AT70:AT71)</f>
        <v>0</v>
      </c>
      <c r="AU69">
        <f>SUM(AU70:AU71)</f>
        <v>0</v>
      </c>
      <c r="AV69">
        <f>SUM(AV70:AV71)</f>
        <v>0</v>
      </c>
    </row>
    <row r="70">
      <c r="C70" t="str">
        <v>天水围</v>
      </c>
      <c r="D70" t="str">
        <v>$</v>
      </c>
      <c r="T70">
        <v>50744</v>
      </c>
      <c r="U70">
        <v>60554</v>
      </c>
      <c r="V70">
        <v>62363</v>
      </c>
      <c r="W70">
        <v>78086</v>
      </c>
      <c r="X70">
        <v>63916</v>
      </c>
      <c r="Y70">
        <v>76512</v>
      </c>
      <c r="Z70">
        <v>84290</v>
      </c>
      <c r="AA70">
        <v>98356</v>
      </c>
      <c r="AB70">
        <v>66101</v>
      </c>
      <c r="AC70">
        <v>56639</v>
      </c>
      <c r="AD70">
        <v>67814</v>
      </c>
      <c r="AE70">
        <v>17512</v>
      </c>
      <c r="AF70">
        <f>235870/26*31</f>
        <v>281229.6153846154</v>
      </c>
      <c r="AG70">
        <v>36620</v>
      </c>
      <c r="AH70">
        <v>86184</v>
      </c>
      <c r="AI70">
        <v>110020</v>
      </c>
      <c r="AJ70">
        <v>102616</v>
      </c>
      <c r="AK70">
        <v>120323</v>
      </c>
      <c r="AL70">
        <v>84849</v>
      </c>
      <c r="AM70">
        <v>102309</v>
      </c>
      <c r="AN70">
        <v>76952</v>
      </c>
      <c r="AO70">
        <v>71955</v>
      </c>
      <c r="AP70">
        <v>76627</v>
      </c>
      <c r="AQ70">
        <v>41996</v>
      </c>
    </row>
    <row r="71">
      <c r="C71" t="str">
        <v>新田（25年10月及之前）</v>
      </c>
      <c r="D71" t="str">
        <v>$</v>
      </c>
      <c r="T71">
        <v>48019</v>
      </c>
      <c r="U71">
        <v>18738</v>
      </c>
      <c r="V71">
        <v>10140</v>
      </c>
      <c r="W71">
        <v>7576</v>
      </c>
      <c r="X71">
        <v>2609</v>
      </c>
      <c r="Y71">
        <v>7929</v>
      </c>
      <c r="Z71">
        <v>10181</v>
      </c>
      <c r="AA71">
        <v>5620</v>
      </c>
      <c r="AB71">
        <v>942</v>
      </c>
      <c r="AD71">
        <v>438</v>
      </c>
    </row>
    <row r="72">
      <c r="C72" t="str">
        <v>等效先认产品</v>
      </c>
      <c r="AK72">
        <f>AK73+AK80</f>
        <v>0</v>
      </c>
      <c r="AL72">
        <f>AL73+AL80</f>
        <v>7083</v>
      </c>
      <c r="AM72">
        <f>AM73+AM80</f>
        <v>36265</v>
      </c>
      <c r="AN72">
        <f>AN73+AN80</f>
        <v>45835</v>
      </c>
      <c r="AO72">
        <f>AO73+AO80</f>
        <v>64058</v>
      </c>
      <c r="AP72">
        <f>AP73+AP80</f>
        <v>56041</v>
      </c>
      <c r="AQ72">
        <f>AQ73+AQ80</f>
        <v>72790</v>
      </c>
      <c r="AR72">
        <f>AR73+AR80</f>
        <v>0</v>
      </c>
      <c r="AS72">
        <f>AS73+AS80</f>
        <v>0</v>
      </c>
      <c r="AT72">
        <f>AT73+AT80</f>
        <v>0</v>
      </c>
      <c r="AU72">
        <f>AU73+AU80</f>
        <v>0</v>
      </c>
      <c r="AV72">
        <f>AV73+AV80</f>
        <v>0</v>
      </c>
    </row>
    <row r="73">
      <c r="C73" t="str">
        <v xml:space="preserve"> - Online channel</v>
      </c>
      <c r="D73" t="str">
        <v>$</v>
      </c>
      <c r="AK73">
        <f>SUM(AK74:AK79)</f>
        <v>0</v>
      </c>
      <c r="AL73">
        <f>SUM(AL74:AL79)</f>
        <v>2936</v>
      </c>
      <c r="AM73">
        <f>SUM(AM74:AM79)</f>
        <v>4933</v>
      </c>
      <c r="AN73">
        <f>SUM(AN74:AN79)</f>
        <v>2411</v>
      </c>
      <c r="AO73">
        <f>SUM(AO74:AO79)</f>
        <v>3100</v>
      </c>
      <c r="AP73">
        <f>SUM(AP74:AP79)</f>
        <v>4212</v>
      </c>
      <c r="AQ73">
        <f>SUM(AQ74:AQ79)</f>
        <v>7706</v>
      </c>
      <c r="AR73">
        <f>SUM(AR74:AR79)</f>
        <v>0</v>
      </c>
      <c r="AS73">
        <f>SUM(AS74:AS79)</f>
        <v>0</v>
      </c>
      <c r="AT73">
        <f>SUM(AT74:AT79)</f>
        <v>0</v>
      </c>
      <c r="AU73">
        <f>SUM(AU74:AU79)</f>
        <v>0</v>
      </c>
      <c r="AV73">
        <f>SUM(AV74:AV79)</f>
        <v>0</v>
      </c>
    </row>
    <row r="74">
      <c r="C74" t="str">
        <v>官网</v>
      </c>
      <c r="D74" t="str">
        <v>$</v>
      </c>
      <c r="AL74">
        <v>2493</v>
      </c>
      <c r="AM74">
        <v>4117</v>
      </c>
      <c r="AO74">
        <v>924</v>
      </c>
      <c r="AP74">
        <v>1329</v>
      </c>
      <c r="AQ74">
        <v>1702</v>
      </c>
    </row>
    <row r="75">
      <c r="C75" t="str">
        <v>谷歌SEM</v>
      </c>
      <c r="D75" t="str">
        <v>$</v>
      </c>
      <c r="AM75">
        <v>816</v>
      </c>
      <c r="AN75">
        <v>2003</v>
      </c>
      <c r="AO75">
        <v>443</v>
      </c>
      <c r="AP75">
        <v>1086</v>
      </c>
      <c r="AQ75">
        <v>1901</v>
      </c>
    </row>
    <row r="76">
      <c r="C76" t="str">
        <v>验车网站</v>
      </c>
      <c r="D76" t="str">
        <v>$</v>
      </c>
      <c r="AN76">
        <v>408</v>
      </c>
      <c r="AO76">
        <v>1733</v>
      </c>
      <c r="AP76">
        <v>1797</v>
      </c>
      <c r="AQ76">
        <v>3660</v>
      </c>
    </row>
    <row r="77">
      <c r="C77" t="str">
        <v>Facebook</v>
      </c>
      <c r="D77" t="str">
        <v>$</v>
      </c>
      <c r="AQ77">
        <v>443</v>
      </c>
    </row>
    <row r="78">
      <c r="C78" t="str">
        <v>新田（25年11月及之后，如有）</v>
      </c>
      <c r="D78" t="str">
        <v>$</v>
      </c>
      <c r="AL78">
        <v>443</v>
      </c>
    </row>
    <row r="79">
      <c r="C79" t="str">
        <v>电邮</v>
      </c>
    </row>
    <row r="80">
      <c r="C80" t="str">
        <v xml:space="preserve"> - CTG channel</v>
      </c>
      <c r="D80" t="str">
        <v>$</v>
      </c>
      <c r="AL80">
        <f>SUM(AL81:AL82)</f>
        <v>4147</v>
      </c>
      <c r="AM80">
        <f>SUM(AM81:AM82)</f>
        <v>31332</v>
      </c>
      <c r="AN80">
        <f>SUM(AN81:AN82)</f>
        <v>43424</v>
      </c>
      <c r="AO80">
        <f>SUM(AO81:AO82)</f>
        <v>60958</v>
      </c>
      <c r="AP80">
        <f>SUM(AP81:AP82)</f>
        <v>51829</v>
      </c>
      <c r="AQ80">
        <f>SUM(AQ81:AQ82)</f>
        <v>65084</v>
      </c>
      <c r="AR80">
        <f>SUM(AR81:AR82)</f>
        <v>0</v>
      </c>
      <c r="AS80">
        <f>SUM(AS81:AS82)</f>
        <v>0</v>
      </c>
      <c r="AT80">
        <f>SUM(AT81:AT82)</f>
        <v>0</v>
      </c>
      <c r="AU80">
        <f>SUM(AU81:AU82)</f>
        <v>0</v>
      </c>
      <c r="AV80">
        <f>SUM(AV81:AV82)</f>
        <v>0</v>
      </c>
    </row>
    <row r="81">
      <c r="C81" t="str">
        <v>天水围</v>
      </c>
      <c r="D81" t="str">
        <v>$</v>
      </c>
      <c r="AL81">
        <v>4147</v>
      </c>
      <c r="AM81">
        <v>31332</v>
      </c>
      <c r="AN81">
        <v>43424</v>
      </c>
      <c r="AO81">
        <v>60958</v>
      </c>
      <c r="AP81">
        <v>51829</v>
      </c>
      <c r="AQ81">
        <v>65084</v>
      </c>
    </row>
    <row r="82">
      <c r="C82" t="str">
        <v>新田（25年10月及之前）</v>
      </c>
      <c r="D82" t="str">
        <v>$</v>
      </c>
    </row>
    <row r="83">
      <c r="C83" t="str">
        <v>PICC Product - RN</v>
      </c>
      <c r="D83" t="str">
        <v>$</v>
      </c>
      <c r="T83">
        <f>T85+T92</f>
        <v>0</v>
      </c>
      <c r="U83">
        <f>U85+U92</f>
        <v>0</v>
      </c>
      <c r="V83">
        <f>V85+V92</f>
        <v>0</v>
      </c>
      <c r="W83">
        <f>W85+W92</f>
        <v>0</v>
      </c>
      <c r="X83">
        <f>X85+X92</f>
        <v>0</v>
      </c>
      <c r="Y83">
        <f>Y85+Y92</f>
        <v>0</v>
      </c>
      <c r="Z83">
        <f>Z85+Z92</f>
        <v>0</v>
      </c>
      <c r="AA83">
        <f>AA85+AA92</f>
        <v>0</v>
      </c>
      <c r="AB83">
        <f>AB85+AB92</f>
        <v>13745</v>
      </c>
      <c r="AC83">
        <f>AC85+AC92</f>
        <v>93769</v>
      </c>
      <c r="AD83">
        <f>AD85+AD92</f>
        <v>76314</v>
      </c>
      <c r="AE83">
        <f>AE85+AE92</f>
        <v>79401</v>
      </c>
      <c r="AF83">
        <f>AF85+AF92</f>
        <v>59742</v>
      </c>
      <c r="AG83">
        <f>AG85+AG92</f>
        <v>62724</v>
      </c>
      <c r="AH83">
        <f>AH85+AH92</f>
        <v>66764</v>
      </c>
      <c r="AI83">
        <f>AI85+AI92</f>
        <v>48583</v>
      </c>
      <c r="AJ83">
        <f>AJ85+AJ92</f>
        <v>73580</v>
      </c>
      <c r="AK83">
        <f>AK84+AK95</f>
        <v>79943</v>
      </c>
      <c r="AL83">
        <f>AL84+AL95</f>
        <v>57908</v>
      </c>
      <c r="AM83">
        <f>AM84+AM95</f>
        <v>70134</v>
      </c>
      <c r="AN83">
        <f>AN84+AN95</f>
        <v>92656</v>
      </c>
      <c r="AO83">
        <f>AO84+AO95</f>
        <v>113688</v>
      </c>
      <c r="AP83">
        <f>AP84+AP95</f>
        <v>84957</v>
      </c>
      <c r="AQ83">
        <f>AQ84+AQ95</f>
        <v>96902</v>
      </c>
      <c r="AR83">
        <f>AR84+AR95</f>
        <v>0</v>
      </c>
      <c r="AS83">
        <f>AS84+AS95</f>
        <v>0</v>
      </c>
      <c r="AT83">
        <f>AT84+AT95</f>
        <v>0</v>
      </c>
      <c r="AU83">
        <f>AU84+AU95</f>
        <v>0</v>
      </c>
      <c r="AV83">
        <f>AV84+AV95</f>
        <v>0</v>
      </c>
    </row>
    <row r="84">
      <c r="C84" t="str">
        <v>一站式产品</v>
      </c>
      <c r="AK84">
        <f>AK85+AK92</f>
        <v>79943</v>
      </c>
      <c r="AL84">
        <f>AL85+AL92</f>
        <v>57908</v>
      </c>
      <c r="AM84">
        <f>AM85+AM92</f>
        <v>70134</v>
      </c>
      <c r="AN84">
        <f>AN85+AN92</f>
        <v>92656</v>
      </c>
      <c r="AO84">
        <f>AO85+AO92</f>
        <v>113688</v>
      </c>
      <c r="AP84">
        <f>AP85+AP92</f>
        <v>84957</v>
      </c>
      <c r="AQ84">
        <f>AQ85+AQ92</f>
        <v>96902</v>
      </c>
      <c r="AR84">
        <f>AR85+AR92</f>
        <v>0</v>
      </c>
      <c r="AS84">
        <f>AS85+AS92</f>
        <v>0</v>
      </c>
      <c r="AT84">
        <f>AT85+AT92</f>
        <v>0</v>
      </c>
      <c r="AU84">
        <f>AU85+AU92</f>
        <v>0</v>
      </c>
      <c r="AV84">
        <f>AV85+AV92</f>
        <v>0</v>
      </c>
    </row>
    <row r="85">
      <c r="C85" t="str">
        <v xml:space="preserve"> - Online channel</v>
      </c>
      <c r="D85" t="str">
        <v>$</v>
      </c>
      <c r="T85">
        <f>SUM(T86:T89)</f>
        <v>0</v>
      </c>
      <c r="U85">
        <f>SUM(U86:U89)</f>
        <v>0</v>
      </c>
      <c r="V85">
        <f>SUM(V86:V89)</f>
        <v>0</v>
      </c>
      <c r="W85">
        <f>SUM(W86:W89)</f>
        <v>0</v>
      </c>
      <c r="X85">
        <f>SUM(X86:X89)</f>
        <v>0</v>
      </c>
      <c r="Y85">
        <f>SUM(Y86:Y89)</f>
        <v>0</v>
      </c>
      <c r="Z85">
        <f>SUM(Z86:Z89)</f>
        <v>0</v>
      </c>
      <c r="AA85">
        <f>SUM(AA86:AA89)</f>
        <v>0</v>
      </c>
      <c r="AB85">
        <f>SUM(AB86:AB91)</f>
        <v>10996</v>
      </c>
      <c r="AC85">
        <f>SUM(AC86:AC91)</f>
        <v>75015</v>
      </c>
      <c r="AD85">
        <f>SUM(AD86:AD91)</f>
        <v>61051</v>
      </c>
      <c r="AE85">
        <f>SUM(AE86:AE91)</f>
        <v>63521</v>
      </c>
      <c r="AF85">
        <f>SUM(AF86:AF91)</f>
        <v>47794</v>
      </c>
      <c r="AG85">
        <f>SUM(AG86:AG91)</f>
        <v>50180</v>
      </c>
      <c r="AH85">
        <f>SUM(AH86:AH91)</f>
        <v>53411</v>
      </c>
      <c r="AI85">
        <f>SUM(AI86:AI91)</f>
        <v>41781</v>
      </c>
      <c r="AJ85">
        <f>SUM(AJ86:AJ91)</f>
        <v>63279</v>
      </c>
      <c r="AK85">
        <f>SUM(AK86:AK91)</f>
        <v>50316</v>
      </c>
      <c r="AL85">
        <f>SUM(AL86:AL91)</f>
        <v>31747</v>
      </c>
      <c r="AM85">
        <f>SUM(AM86:AM91)</f>
        <v>31326</v>
      </c>
      <c r="AN85">
        <f>SUM(AN86:AN91)</f>
        <v>46596</v>
      </c>
      <c r="AO85">
        <f>SUM(AO86:AO91)</f>
        <v>70530</v>
      </c>
      <c r="AP85">
        <f>SUM(AP86:AP91)</f>
        <v>53512</v>
      </c>
      <c r="AQ85">
        <f>SUM(AQ86:AQ91)</f>
        <v>62528</v>
      </c>
      <c r="AR85">
        <f>SUM(AR86:AR91)</f>
        <v>0</v>
      </c>
      <c r="AS85">
        <f>SUM(AS86:AS91)</f>
        <v>0</v>
      </c>
      <c r="AT85">
        <f>SUM(AT86:AT91)</f>
        <v>0</v>
      </c>
      <c r="AU85">
        <f>SUM(AU86:AU91)</f>
        <v>0</v>
      </c>
      <c r="AV85">
        <f>SUM(AV86:AV91)</f>
        <v>0</v>
      </c>
    </row>
    <row r="86">
      <c r="C86" t="str">
        <v>官网</v>
      </c>
      <c r="D86" t="str">
        <v>$</v>
      </c>
      <c r="AB86">
        <v>2749</v>
      </c>
      <c r="AC86">
        <v>18754</v>
      </c>
      <c r="AD86">
        <v>15263</v>
      </c>
      <c r="AE86">
        <v>15881</v>
      </c>
      <c r="AF86">
        <v>11948</v>
      </c>
      <c r="AG86">
        <v>12545</v>
      </c>
      <c r="AH86">
        <v>13353</v>
      </c>
      <c r="AI86">
        <v>9717</v>
      </c>
      <c r="AJ86">
        <v>14716</v>
      </c>
      <c r="AK86">
        <v>11702</v>
      </c>
      <c r="AL86">
        <v>7383</v>
      </c>
      <c r="AM86">
        <v>7285</v>
      </c>
      <c r="AN86">
        <v>10836</v>
      </c>
      <c r="AO86">
        <v>16402</v>
      </c>
      <c r="AP86">
        <v>12444</v>
      </c>
      <c r="AQ86">
        <v>14542</v>
      </c>
    </row>
    <row r="87">
      <c r="C87" t="str">
        <v>谷歌SEM</v>
      </c>
      <c r="D87" t="str">
        <v>$</v>
      </c>
      <c r="AB87">
        <v>2199</v>
      </c>
      <c r="AC87">
        <v>15003</v>
      </c>
      <c r="AD87">
        <v>12210</v>
      </c>
      <c r="AE87">
        <v>12704</v>
      </c>
      <c r="AF87">
        <v>9559</v>
      </c>
      <c r="AG87">
        <v>10036</v>
      </c>
      <c r="AH87">
        <v>10682</v>
      </c>
      <c r="AI87">
        <v>7773</v>
      </c>
      <c r="AJ87">
        <v>11773</v>
      </c>
      <c r="AK87">
        <v>9361</v>
      </c>
      <c r="AL87">
        <v>5906</v>
      </c>
      <c r="AM87">
        <v>5828</v>
      </c>
      <c r="AN87">
        <v>8669</v>
      </c>
      <c r="AO87">
        <v>13122</v>
      </c>
      <c r="AP87">
        <v>9956</v>
      </c>
      <c r="AQ87">
        <v>11633</v>
      </c>
    </row>
    <row r="88">
      <c r="C88" t="str">
        <v>验车网站</v>
      </c>
      <c r="D88" t="str">
        <v>$</v>
      </c>
      <c r="AB88">
        <v>2199</v>
      </c>
      <c r="AC88">
        <v>15003</v>
      </c>
      <c r="AD88">
        <v>12210</v>
      </c>
      <c r="AE88">
        <v>12704</v>
      </c>
      <c r="AF88">
        <v>9559</v>
      </c>
      <c r="AG88">
        <v>10036</v>
      </c>
      <c r="AH88">
        <v>10682</v>
      </c>
      <c r="AI88">
        <v>7773</v>
      </c>
      <c r="AJ88">
        <v>11773</v>
      </c>
      <c r="AK88">
        <v>9361</v>
      </c>
      <c r="AL88">
        <v>5906</v>
      </c>
      <c r="AM88">
        <v>5828</v>
      </c>
      <c r="AN88">
        <v>8669</v>
      </c>
      <c r="AO88">
        <v>13122</v>
      </c>
      <c r="AP88">
        <v>9956</v>
      </c>
      <c r="AQ88">
        <v>11633</v>
      </c>
    </row>
    <row r="89">
      <c r="C89" t="str">
        <v>Facebook</v>
      </c>
      <c r="D89" t="str">
        <v>$</v>
      </c>
      <c r="AB89">
        <v>220</v>
      </c>
      <c r="AC89">
        <v>1500</v>
      </c>
      <c r="AD89">
        <v>1221</v>
      </c>
      <c r="AE89">
        <v>1270</v>
      </c>
      <c r="AF89">
        <v>956</v>
      </c>
      <c r="AG89">
        <v>1004</v>
      </c>
      <c r="AH89">
        <v>1068</v>
      </c>
      <c r="AI89">
        <v>777</v>
      </c>
      <c r="AJ89">
        <v>1177</v>
      </c>
      <c r="AK89">
        <v>936</v>
      </c>
      <c r="AL89">
        <v>591</v>
      </c>
      <c r="AM89">
        <v>583</v>
      </c>
      <c r="AN89">
        <v>867</v>
      </c>
      <c r="AO89">
        <v>1312</v>
      </c>
      <c r="AP89">
        <v>996</v>
      </c>
      <c r="AQ89">
        <v>1163</v>
      </c>
    </row>
    <row r="90">
      <c r="C90" t="str">
        <v>新田（25年11月及之后，如有）</v>
      </c>
      <c r="D90" t="str">
        <v>$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2915</v>
      </c>
      <c r="AJ90">
        <v>4415</v>
      </c>
      <c r="AK90">
        <v>3510</v>
      </c>
      <c r="AL90">
        <v>2215</v>
      </c>
      <c r="AM90">
        <v>2186</v>
      </c>
      <c r="AN90">
        <v>3251</v>
      </c>
      <c r="AO90">
        <v>4921</v>
      </c>
      <c r="AP90">
        <v>3733</v>
      </c>
      <c r="AQ90">
        <v>4362</v>
      </c>
    </row>
    <row r="91">
      <c r="C91" t="str">
        <v>电邮</v>
      </c>
      <c r="AB91">
        <v>3629</v>
      </c>
      <c r="AC91">
        <v>24755</v>
      </c>
      <c r="AD91">
        <v>20147</v>
      </c>
      <c r="AE91">
        <v>20962</v>
      </c>
      <c r="AF91">
        <v>15772</v>
      </c>
      <c r="AG91">
        <v>16559</v>
      </c>
      <c r="AH91">
        <v>17626</v>
      </c>
      <c r="AI91">
        <v>12826</v>
      </c>
      <c r="AJ91">
        <v>19425</v>
      </c>
      <c r="AK91">
        <v>15446</v>
      </c>
      <c r="AL91">
        <v>9746</v>
      </c>
      <c r="AM91">
        <v>9616</v>
      </c>
      <c r="AN91">
        <v>14304</v>
      </c>
      <c r="AO91">
        <v>21651</v>
      </c>
      <c r="AP91">
        <v>16427</v>
      </c>
      <c r="AQ91">
        <v>19195</v>
      </c>
    </row>
    <row r="92">
      <c r="C92" t="str">
        <v xml:space="preserve"> - CTG channel</v>
      </c>
      <c r="D92" t="str">
        <v>$</v>
      </c>
      <c r="T92">
        <f>SUM(T93:T94)</f>
        <v>0</v>
      </c>
      <c r="U92">
        <f>SUM(U93:U94)</f>
        <v>0</v>
      </c>
      <c r="V92">
        <f>SUM(V93:V94)</f>
        <v>0</v>
      </c>
      <c r="W92">
        <f>SUM(W93:W94)</f>
        <v>0</v>
      </c>
      <c r="X92">
        <f>SUM(X93:X94)</f>
        <v>0</v>
      </c>
      <c r="Y92">
        <f>SUM(Y93:Y94)</f>
        <v>0</v>
      </c>
      <c r="Z92">
        <f>SUM(Z93:Z94)</f>
        <v>0</v>
      </c>
      <c r="AA92">
        <f>SUM(AA93:AA94)</f>
        <v>0</v>
      </c>
      <c r="AB92">
        <f>SUM(AB93:AB94)</f>
        <v>2749</v>
      </c>
      <c r="AC92">
        <f>SUM(AC93:AC94)</f>
        <v>18754</v>
      </c>
      <c r="AD92">
        <f>SUM(AD93:AD94)</f>
        <v>15263</v>
      </c>
      <c r="AE92">
        <f>SUM(AE93:AE94)</f>
        <v>15880</v>
      </c>
      <c r="AF92">
        <f>SUM(AF93:AF94)</f>
        <v>11948</v>
      </c>
      <c r="AG92">
        <f>SUM(AG93:AG94)</f>
        <v>12544</v>
      </c>
      <c r="AH92">
        <f>SUM(AH93:AH94)</f>
        <v>13353</v>
      </c>
      <c r="AI92">
        <f>SUM(AI93:AI94)</f>
        <v>6802</v>
      </c>
      <c r="AJ92">
        <f>SUM(AJ93:AJ94)</f>
        <v>10301</v>
      </c>
      <c r="AK92">
        <f>SUM(AK93:AK94)</f>
        <v>29627</v>
      </c>
      <c r="AL92">
        <f>SUM(AL93:AL94)</f>
        <v>26161</v>
      </c>
      <c r="AM92">
        <f>SUM(AM93:AM94)</f>
        <v>38808</v>
      </c>
      <c r="AN92">
        <f>SUM(AN93:AN94)</f>
        <v>46060</v>
      </c>
      <c r="AO92">
        <f>SUM(AO93:AO94)</f>
        <v>43158</v>
      </c>
      <c r="AP92">
        <f>SUM(AP93:AP94)</f>
        <v>31445</v>
      </c>
      <c r="AQ92">
        <f>SUM(AQ93:AQ94)</f>
        <v>34374</v>
      </c>
      <c r="AR92">
        <f>SUM(AR93:AR94)</f>
        <v>0</v>
      </c>
      <c r="AS92">
        <f>SUM(AS93:AS94)</f>
        <v>0</v>
      </c>
      <c r="AT92">
        <f>SUM(AT93:AT94)</f>
        <v>0</v>
      </c>
      <c r="AU92">
        <f>SUM(AU93:AU94)</f>
        <v>0</v>
      </c>
      <c r="AV92">
        <f>SUM(AV93:AV94)</f>
        <v>0</v>
      </c>
    </row>
    <row r="93">
      <c r="C93" t="str">
        <v>天水围</v>
      </c>
      <c r="D93" t="str">
        <v>$</v>
      </c>
      <c r="AB93">
        <v>1924</v>
      </c>
      <c r="AC93">
        <v>13128</v>
      </c>
      <c r="AD93">
        <v>10684</v>
      </c>
      <c r="AE93">
        <v>11116</v>
      </c>
      <c r="AF93">
        <v>8364</v>
      </c>
      <c r="AG93">
        <v>8781</v>
      </c>
      <c r="AH93">
        <v>9347</v>
      </c>
      <c r="AI93">
        <v>6802</v>
      </c>
      <c r="AJ93">
        <v>10301</v>
      </c>
      <c r="AK93">
        <v>29627</v>
      </c>
      <c r="AL93">
        <v>26161</v>
      </c>
      <c r="AM93">
        <v>38808</v>
      </c>
      <c r="AN93">
        <v>46060</v>
      </c>
      <c r="AO93">
        <v>43158</v>
      </c>
      <c r="AP93">
        <v>31445</v>
      </c>
      <c r="AQ93">
        <v>34374</v>
      </c>
    </row>
    <row r="94">
      <c r="C94" t="str">
        <v>新田（25年10月及之前）</v>
      </c>
      <c r="D94" t="str">
        <v>$</v>
      </c>
      <c r="AB94">
        <v>825</v>
      </c>
      <c r="AC94">
        <v>5626</v>
      </c>
      <c r="AD94">
        <v>4579</v>
      </c>
      <c r="AE94">
        <v>4764</v>
      </c>
      <c r="AF94">
        <v>3584</v>
      </c>
      <c r="AG94">
        <v>3763</v>
      </c>
      <c r="AH94">
        <v>4006</v>
      </c>
    </row>
    <row r="95">
      <c r="C95" t="str">
        <v>等效先认产品</v>
      </c>
      <c r="AK95">
        <f>AK96+AK103</f>
        <v>0</v>
      </c>
      <c r="AL95">
        <f>AL96+AL103</f>
        <v>0</v>
      </c>
      <c r="AM95">
        <f>AM96+AM103</f>
        <v>0</v>
      </c>
      <c r="AN95">
        <f>AN96+AN103</f>
        <v>0</v>
      </c>
      <c r="AO95">
        <f>AO96+AO103</f>
        <v>0</v>
      </c>
      <c r="AP95">
        <f>AP96+AP103</f>
        <v>0</v>
      </c>
      <c r="AQ95">
        <f>AQ96+AQ103</f>
        <v>0</v>
      </c>
      <c r="AR95">
        <f>AR96+AR103</f>
        <v>0</v>
      </c>
      <c r="AS95">
        <f>AS96+AS103</f>
        <v>0</v>
      </c>
      <c r="AT95">
        <f>AT96+AT103</f>
        <v>0</v>
      </c>
      <c r="AU95">
        <f>AU96+AU103</f>
        <v>0</v>
      </c>
      <c r="AV95">
        <f>AV96+AV103</f>
        <v>0</v>
      </c>
    </row>
    <row r="96">
      <c r="C96" t="str">
        <v xml:space="preserve"> - Online channel</v>
      </c>
      <c r="D96" t="str">
        <v>$</v>
      </c>
      <c r="AK96">
        <f>SUM(AK97:AK102)</f>
        <v>0</v>
      </c>
      <c r="AL96">
        <f>SUM(AL97:AL102)</f>
        <v>0</v>
      </c>
      <c r="AM96">
        <f>SUM(AM97:AM102)</f>
        <v>0</v>
      </c>
      <c r="AN96">
        <f>SUM(AN97:AN102)</f>
        <v>0</v>
      </c>
      <c r="AO96">
        <f>SUM(AO97:AO102)</f>
        <v>0</v>
      </c>
      <c r="AP96">
        <f>SUM(AP97:AP102)</f>
        <v>0</v>
      </c>
      <c r="AQ96">
        <f>SUM(AQ97:AQ102)</f>
        <v>0</v>
      </c>
      <c r="AR96">
        <f>SUM(AR97:AR102)</f>
        <v>0</v>
      </c>
      <c r="AS96">
        <f>SUM(AS97:AS102)</f>
        <v>0</v>
      </c>
      <c r="AT96">
        <f>SUM(AT97:AT102)</f>
        <v>0</v>
      </c>
      <c r="AU96">
        <f>SUM(AU97:AU102)</f>
        <v>0</v>
      </c>
      <c r="AV96">
        <f>SUM(AV97:AV102)</f>
        <v>0</v>
      </c>
    </row>
    <row r="97">
      <c r="C97" t="str">
        <v>官网</v>
      </c>
      <c r="D97" t="str">
        <v>$</v>
      </c>
    </row>
    <row r="98">
      <c r="C98" t="str">
        <v>谷歌SEM</v>
      </c>
      <c r="D98" t="str">
        <v>$</v>
      </c>
    </row>
    <row r="99">
      <c r="C99" t="str">
        <v>验车网站</v>
      </c>
      <c r="D99" t="str">
        <v>$</v>
      </c>
    </row>
    <row r="100">
      <c r="C100" t="str">
        <v>Facebook</v>
      </c>
      <c r="D100" t="str">
        <v>$</v>
      </c>
    </row>
    <row r="101">
      <c r="C101" t="str">
        <v>新田（25年11月及之后，如有）</v>
      </c>
      <c r="D101" t="str">
        <v>$</v>
      </c>
    </row>
    <row r="102">
      <c r="C102" t="str">
        <v>电邮</v>
      </c>
    </row>
    <row r="103">
      <c r="C103" t="str">
        <v xml:space="preserve"> - CTG channel</v>
      </c>
      <c r="D103" t="str">
        <v>$</v>
      </c>
      <c r="AL103">
        <f>SUM(AL104:AL105)</f>
        <v>0</v>
      </c>
      <c r="AM103">
        <f>SUM(AM104:AM105)</f>
        <v>0</v>
      </c>
      <c r="AN103">
        <f>SUM(AN104:AN105)</f>
        <v>0</v>
      </c>
      <c r="AO103">
        <f>SUM(AO104:AO105)</f>
        <v>0</v>
      </c>
      <c r="AP103">
        <f>SUM(AP104:AP105)</f>
        <v>0</v>
      </c>
      <c r="AQ103">
        <f>SUM(AQ104:AQ105)</f>
        <v>0</v>
      </c>
      <c r="AR103">
        <f>SUM(AR104:AR105)</f>
        <v>0</v>
      </c>
      <c r="AS103">
        <f>SUM(AS104:AS105)</f>
        <v>0</v>
      </c>
      <c r="AT103">
        <f>SUM(AT104:AT105)</f>
        <v>0</v>
      </c>
      <c r="AU103">
        <f>SUM(AU104:AU105)</f>
        <v>0</v>
      </c>
      <c r="AV103">
        <f>SUM(AV104:AV105)</f>
        <v>0</v>
      </c>
    </row>
    <row r="104">
      <c r="C104" t="str">
        <v>天水围</v>
      </c>
      <c r="D104" t="str">
        <v>$</v>
      </c>
    </row>
    <row r="105">
      <c r="C105" t="str">
        <v>新田（25年10月及之前）</v>
      </c>
      <c r="D105" t="str">
        <v>$</v>
      </c>
    </row>
    <row r="111">
      <c r="C111" t="str">
        <v>Taiping Renewal</v>
      </c>
      <c r="D111" t="str">
        <v>$</v>
      </c>
      <c r="H111">
        <f>SUM(Y111:Z111)</f>
        <v>252858</v>
      </c>
      <c r="V111">
        <v>13449</v>
      </c>
      <c r="W111">
        <v>6644</v>
      </c>
      <c r="X111">
        <f>95088+29069</f>
        <v>124157</v>
      </c>
      <c r="Y111">
        <v>28436</v>
      </c>
      <c r="Z111">
        <v>22135</v>
      </c>
      <c r="AA111">
        <v>16271</v>
      </c>
      <c r="AB111">
        <v>8730</v>
      </c>
      <c r="AC111">
        <v>5948</v>
      </c>
      <c r="AD111">
        <v>4760</v>
      </c>
      <c r="AE111">
        <v>20760</v>
      </c>
      <c r="AF111">
        <f>110027/26*31</f>
        <v>131186.03846153847</v>
      </c>
      <c r="AG111">
        <v>13154</v>
      </c>
      <c r="AH111">
        <v>20046</v>
      </c>
      <c r="AI111">
        <v>29026</v>
      </c>
      <c r="AJ111">
        <v>45082</v>
      </c>
      <c r="AK111">
        <v>42898</v>
      </c>
      <c r="AL111">
        <v>21586</v>
      </c>
      <c r="AM111">
        <v>24406</v>
      </c>
      <c r="AN111">
        <v>18459</v>
      </c>
      <c r="AO111">
        <v>15943</v>
      </c>
      <c r="AP111">
        <v>22894</v>
      </c>
      <c r="AQ111">
        <v>16034</v>
      </c>
    </row>
    <row r="112">
      <c r="C112" t="str">
        <v>PICC Renewal</v>
      </c>
      <c r="D112" t="str">
        <v>$</v>
      </c>
      <c r="H112">
        <f>SUM(Y112:Z112)</f>
        <v>0</v>
      </c>
      <c r="Y112">
        <v>0</v>
      </c>
      <c r="Z112">
        <v>0</v>
      </c>
      <c r="AA112">
        <v>0</v>
      </c>
      <c r="AB112">
        <v>13746</v>
      </c>
      <c r="AC112">
        <v>93768</v>
      </c>
      <c r="AD112">
        <v>76314</v>
      </c>
      <c r="AE112">
        <v>79403</v>
      </c>
      <c r="AF112">
        <f>250528/26*31</f>
        <v>298706.46153846156</v>
      </c>
      <c r="AG112">
        <v>62724</v>
      </c>
      <c r="AH112">
        <v>66764</v>
      </c>
      <c r="AI112">
        <v>48583</v>
      </c>
      <c r="AJ112">
        <v>73579</v>
      </c>
      <c r="AK112">
        <f>AK113+AK114</f>
        <v>79944</v>
      </c>
      <c r="AL112">
        <f>AL113+AL114</f>
        <v>57908</v>
      </c>
      <c r="AM112">
        <f>AM113+AM114</f>
        <v>70134</v>
      </c>
      <c r="AN112">
        <f>AN113+AN114</f>
        <v>92656</v>
      </c>
      <c r="AO112">
        <f>AO113+AO114</f>
        <v>113688</v>
      </c>
      <c r="AP112">
        <f>AP113+AP114</f>
        <v>84956</v>
      </c>
      <c r="AQ112">
        <f>AQ113+AQ114</f>
        <v>96903</v>
      </c>
      <c r="AR112">
        <f>AR113+AR114</f>
        <v>0</v>
      </c>
      <c r="AS112">
        <f>AS113+AS114</f>
        <v>0</v>
      </c>
      <c r="AT112">
        <f>AT113+AT114</f>
        <v>0</v>
      </c>
      <c r="AU112">
        <f>AU113+AU114</f>
        <v>0</v>
      </c>
      <c r="AV112">
        <f>AV113+AV114</f>
        <v>0</v>
      </c>
    </row>
    <row r="113">
      <c r="C113" t="str">
        <v>PICC Website Renewal</v>
      </c>
      <c r="D113" t="str">
        <v>$</v>
      </c>
      <c r="AK113">
        <v>58508</v>
      </c>
      <c r="AL113">
        <v>36915</v>
      </c>
      <c r="AM113">
        <v>36426</v>
      </c>
      <c r="AN113">
        <v>54181</v>
      </c>
      <c r="AO113">
        <v>82011</v>
      </c>
      <c r="AP113">
        <v>62222</v>
      </c>
      <c r="AQ113">
        <v>72708</v>
      </c>
    </row>
    <row r="114">
      <c r="C114" t="str">
        <v>PICC Offline Renewal</v>
      </c>
      <c r="D114" t="str">
        <v>$</v>
      </c>
      <c r="AK114">
        <v>21436</v>
      </c>
      <c r="AL114">
        <v>20993</v>
      </c>
      <c r="AM114">
        <v>33708</v>
      </c>
      <c r="AN114">
        <v>38475</v>
      </c>
      <c r="AO114">
        <v>31677</v>
      </c>
      <c r="AP114">
        <v>22734</v>
      </c>
      <c r="AQ114">
        <v>24195</v>
      </c>
    </row>
    <row r="116">
      <c r="C116" t="str">
        <v>Sales Breakup(#)</v>
      </c>
    </row>
    <row r="117">
      <c r="C117" t="str">
        <v>Total Inquiries</v>
      </c>
      <c r="D117" t="str">
        <v>#</v>
      </c>
      <c r="E117">
        <v>221</v>
      </c>
      <c r="F117">
        <f>H117</f>
        <v>6576</v>
      </c>
      <c r="H117">
        <f>SUM(Y117:Z117)</f>
        <v>6576</v>
      </c>
      <c r="J117">
        <f>W117</f>
        <v>569</v>
      </c>
      <c r="K117">
        <f>Z117</f>
        <v>643</v>
      </c>
      <c r="M117">
        <v>69</v>
      </c>
      <c r="N117">
        <v>57</v>
      </c>
      <c r="O117">
        <v>62</v>
      </c>
      <c r="P117">
        <v>47</v>
      </c>
      <c r="Q117">
        <v>85</v>
      </c>
      <c r="R117">
        <v>85</v>
      </c>
      <c r="S117">
        <v>108</v>
      </c>
      <c r="T117">
        <v>620</v>
      </c>
      <c r="U117">
        <v>582</v>
      </c>
      <c r="V117">
        <v>501</v>
      </c>
      <c r="W117">
        <v>569</v>
      </c>
      <c r="X117">
        <v>505</v>
      </c>
      <c r="Y117">
        <v>672</v>
      </c>
      <c r="Z117">
        <v>643</v>
      </c>
      <c r="AA117">
        <v>631</v>
      </c>
      <c r="AB117">
        <v>478</v>
      </c>
      <c r="AC117">
        <v>582</v>
      </c>
      <c r="AD117">
        <v>551</v>
      </c>
      <c r="AE117">
        <v>484</v>
      </c>
      <c r="AF117">
        <v>565</v>
      </c>
      <c r="AG117">
        <v>441</v>
      </c>
      <c r="AH117">
        <v>554</v>
      </c>
      <c r="AI117">
        <v>579</v>
      </c>
      <c r="AJ117">
        <v>620</v>
      </c>
      <c r="AK117">
        <v>640</v>
      </c>
      <c r="AL117">
        <v>237</v>
      </c>
      <c r="AM117">
        <v>253</v>
      </c>
      <c r="AN117">
        <v>305</v>
      </c>
      <c r="AO117">
        <v>356</v>
      </c>
      <c r="AP117">
        <v>327</v>
      </c>
      <c r="AQ117">
        <v>321</v>
      </c>
    </row>
    <row r="118">
      <c r="C118" t="str">
        <v>NB Application</v>
      </c>
      <c r="D118" t="str">
        <v>#</v>
      </c>
      <c r="E118">
        <v>645</v>
      </c>
      <c r="F118">
        <f>H118</f>
        <v>902</v>
      </c>
      <c r="H118">
        <f>SUM(Y118:Z118)</f>
        <v>902</v>
      </c>
      <c r="J118">
        <f>W118</f>
        <v>81</v>
      </c>
      <c r="K118">
        <f>Z118</f>
        <v>93</v>
      </c>
      <c r="M118">
        <v>37</v>
      </c>
      <c r="N118">
        <v>30</v>
      </c>
      <c r="O118">
        <v>40</v>
      </c>
      <c r="P118">
        <v>24</v>
      </c>
      <c r="Q118">
        <f>239+51</f>
        <v>290</v>
      </c>
      <c r="R118">
        <f>30+292</f>
        <v>322</v>
      </c>
      <c r="S118">
        <f>32+383</f>
        <v>415</v>
      </c>
      <c r="T118">
        <f>338+95</f>
        <v>433</v>
      </c>
      <c r="U118">
        <f>126+290</f>
        <v>416</v>
      </c>
      <c r="V118">
        <f>103+271</f>
        <v>374</v>
      </c>
      <c r="W118">
        <v>81</v>
      </c>
      <c r="X118">
        <f>253+88</f>
        <v>341</v>
      </c>
      <c r="Y118">
        <v>87</v>
      </c>
      <c r="Z118">
        <v>93</v>
      </c>
      <c r="AA118">
        <v>90</v>
      </c>
      <c r="AB118">
        <v>62</v>
      </c>
      <c r="AC118">
        <v>54</v>
      </c>
      <c r="AD118">
        <v>61</v>
      </c>
      <c r="AE118">
        <v>30</v>
      </c>
      <c r="AF118">
        <f>AF119+AF120</f>
        <v>51</v>
      </c>
      <c r="AG118">
        <f>AG119+AG120</f>
        <v>32</v>
      </c>
      <c r="AH118">
        <f>AH119+AH120</f>
        <v>59</v>
      </c>
      <c r="AI118">
        <f>AI119+AI120</f>
        <v>68</v>
      </c>
      <c r="AJ118">
        <f>AJ119+AJ120</f>
        <v>64</v>
      </c>
      <c r="AK118">
        <f>AK119+AK120</f>
        <v>66</v>
      </c>
      <c r="AL118">
        <f>AL119+AL120</f>
        <v>64</v>
      </c>
      <c r="AM118">
        <f>AM119+AM120</f>
        <v>100</v>
      </c>
      <c r="AN118">
        <f>AN119+AN120</f>
        <v>93</v>
      </c>
      <c r="AO118">
        <f>AO119+AO120</f>
        <v>104</v>
      </c>
      <c r="AP118">
        <f>AP119+AP120</f>
        <v>102</v>
      </c>
      <c r="AQ118">
        <f>AQ119+AQ120</f>
        <v>101</v>
      </c>
      <c r="AR118">
        <f>AR119+AR120</f>
        <v>0</v>
      </c>
      <c r="AS118">
        <f>AS119+AS120</f>
        <v>0</v>
      </c>
      <c r="AT118">
        <f>AT119+AT120</f>
        <v>0</v>
      </c>
      <c r="AU118">
        <f>AU119+AU120</f>
        <v>0</v>
      </c>
      <c r="AV118">
        <f>AV119+AV120</f>
        <v>0</v>
      </c>
    </row>
    <row r="119">
      <c r="C119" t="str">
        <v>-TAIPING</v>
      </c>
      <c r="T119">
        <v>19</v>
      </c>
      <c r="U119">
        <v>25</v>
      </c>
      <c r="V119">
        <v>21</v>
      </c>
      <c r="W119">
        <v>20</v>
      </c>
      <c r="X119">
        <v>18</v>
      </c>
      <c r="Y119">
        <v>27</v>
      </c>
      <c r="Z119">
        <v>24</v>
      </c>
      <c r="AA119">
        <v>18</v>
      </c>
      <c r="AB119">
        <v>15</v>
      </c>
      <c r="AC119">
        <v>12</v>
      </c>
      <c r="AD119">
        <v>13</v>
      </c>
      <c r="AE119">
        <v>13</v>
      </c>
      <c r="AF119">
        <v>11</v>
      </c>
      <c r="AG119">
        <v>10</v>
      </c>
      <c r="AH119">
        <v>12</v>
      </c>
      <c r="AI119">
        <v>11</v>
      </c>
      <c r="AJ119">
        <v>12</v>
      </c>
      <c r="AK119">
        <v>15</v>
      </c>
      <c r="AL119">
        <v>14</v>
      </c>
      <c r="AM119">
        <v>31</v>
      </c>
      <c r="AN119">
        <v>34</v>
      </c>
      <c r="AO119">
        <v>42</v>
      </c>
      <c r="AP119">
        <v>41</v>
      </c>
      <c r="AQ119">
        <v>42</v>
      </c>
    </row>
    <row r="120">
      <c r="C120" t="str">
        <v>-PICC</v>
      </c>
      <c r="T120">
        <v>68</v>
      </c>
      <c r="U120">
        <v>58</v>
      </c>
      <c r="V120">
        <v>54</v>
      </c>
      <c r="W120">
        <v>61</v>
      </c>
      <c r="X120">
        <v>51</v>
      </c>
      <c r="Y120">
        <v>62</v>
      </c>
      <c r="Z120">
        <v>69</v>
      </c>
      <c r="AA120">
        <v>71</v>
      </c>
      <c r="AB120">
        <v>47</v>
      </c>
      <c r="AC120">
        <v>43</v>
      </c>
      <c r="AD120">
        <v>48</v>
      </c>
      <c r="AE120">
        <v>17</v>
      </c>
      <c r="AF120">
        <v>40</v>
      </c>
      <c r="AG120">
        <v>22</v>
      </c>
      <c r="AH120">
        <v>47</v>
      </c>
      <c r="AI120">
        <v>57</v>
      </c>
      <c r="AJ120">
        <v>52</v>
      </c>
      <c r="AK120">
        <v>51</v>
      </c>
      <c r="AL120">
        <v>50</v>
      </c>
      <c r="AM120">
        <v>69</v>
      </c>
      <c r="AN120">
        <v>59</v>
      </c>
      <c r="AO120">
        <v>62</v>
      </c>
      <c r="AP120">
        <v>61</v>
      </c>
      <c r="AQ120">
        <v>59</v>
      </c>
    </row>
    <row r="121">
      <c r="C121" t="str">
        <v>RN Application</v>
      </c>
      <c r="Y121">
        <f>Y122+Y123</f>
        <v>13</v>
      </c>
      <c r="Z121">
        <f>Z122+Z123</f>
        <v>10</v>
      </c>
      <c r="AA121">
        <f>AA122+AA123</f>
        <v>7</v>
      </c>
      <c r="AB121">
        <f>AB122+AB123</f>
        <v>9</v>
      </c>
      <c r="AC121">
        <f>AC122+AC123</f>
        <v>41</v>
      </c>
      <c r="AD121">
        <f>AD122+AD123</f>
        <v>35</v>
      </c>
      <c r="AE121">
        <f>AE122+AE123</f>
        <v>43</v>
      </c>
      <c r="AF121">
        <f>AF122+AF123</f>
        <v>39</v>
      </c>
      <c r="AG121">
        <f>AG122+AG123</f>
        <v>38</v>
      </c>
      <c r="AH121">
        <f>AH122+AH123</f>
        <v>37</v>
      </c>
      <c r="AI121">
        <f>AI122+AI123</f>
        <v>35</v>
      </c>
      <c r="AJ121">
        <f>AJ122+AJ123</f>
        <v>49</v>
      </c>
      <c r="AK121">
        <f>AK122+AK123</f>
        <v>50</v>
      </c>
      <c r="AL121">
        <f>AL122+AL123</f>
        <v>27</v>
      </c>
      <c r="AM121">
        <f>AM122+AM123</f>
        <v>26</v>
      </c>
      <c r="AN121">
        <f>AN122+AN123</f>
        <v>32</v>
      </c>
      <c r="AO121">
        <f>AO122+AO123</f>
        <v>43</v>
      </c>
      <c r="AP121">
        <f>AP122+AP123</f>
        <v>35</v>
      </c>
      <c r="AQ121">
        <f>AQ122+AQ123</f>
        <v>37</v>
      </c>
      <c r="AR121">
        <f>AR122+AR123</f>
        <v>0</v>
      </c>
      <c r="AS121">
        <f>AS122+AS123</f>
        <v>0</v>
      </c>
      <c r="AT121">
        <f>AT122+AT123</f>
        <v>0</v>
      </c>
      <c r="AU121">
        <f>AU122+AU123</f>
        <v>0</v>
      </c>
      <c r="AV121">
        <f>AV122+AV123</f>
        <v>0</v>
      </c>
    </row>
    <row r="122">
      <c r="C122" t="str">
        <v>-TAIPING</v>
      </c>
      <c r="Y122">
        <v>13</v>
      </c>
      <c r="Z122">
        <v>10</v>
      </c>
      <c r="AA122">
        <v>7</v>
      </c>
      <c r="AB122">
        <v>3</v>
      </c>
      <c r="AC122">
        <v>3</v>
      </c>
      <c r="AD122">
        <v>3</v>
      </c>
      <c r="AE122">
        <v>9</v>
      </c>
      <c r="AF122">
        <v>10</v>
      </c>
      <c r="AG122">
        <v>10</v>
      </c>
      <c r="AH122">
        <v>8</v>
      </c>
      <c r="AI122">
        <v>14</v>
      </c>
      <c r="AJ122">
        <v>20</v>
      </c>
      <c r="AK122">
        <v>25</v>
      </c>
      <c r="AL122">
        <v>10</v>
      </c>
      <c r="AM122">
        <v>10</v>
      </c>
      <c r="AN122">
        <v>9</v>
      </c>
      <c r="AO122">
        <v>8</v>
      </c>
      <c r="AP122">
        <v>9</v>
      </c>
      <c r="AQ122">
        <v>7</v>
      </c>
    </row>
    <row r="123">
      <c r="C123" t="str">
        <v>-PICC</v>
      </c>
      <c r="Y123">
        <v>0</v>
      </c>
      <c r="Z123">
        <v>0</v>
      </c>
      <c r="AA123">
        <v>0</v>
      </c>
      <c r="AB123">
        <v>6</v>
      </c>
      <c r="AC123">
        <v>38</v>
      </c>
      <c r="AD123">
        <v>32</v>
      </c>
      <c r="AE123">
        <v>34</v>
      </c>
      <c r="AF123">
        <v>29</v>
      </c>
      <c r="AG123">
        <v>28</v>
      </c>
      <c r="AH123">
        <v>29</v>
      </c>
      <c r="AI123">
        <v>21</v>
      </c>
      <c r="AJ123">
        <v>29</v>
      </c>
      <c r="AK123">
        <v>25</v>
      </c>
      <c r="AL123">
        <v>17</v>
      </c>
      <c r="AM123">
        <v>16</v>
      </c>
      <c r="AN123">
        <v>23</v>
      </c>
      <c r="AO123">
        <v>35</v>
      </c>
      <c r="AP123">
        <v>26</v>
      </c>
      <c r="AQ123">
        <v>30</v>
      </c>
    </row>
    <row r="124">
      <c r="C124" t="str">
        <v>Conversion Rate (A/I)</v>
      </c>
      <c r="D124" t="str">
        <v>%</v>
      </c>
      <c r="E124">
        <f>E118/E117</f>
        <v>2.918552036199095</v>
      </c>
      <c r="F124">
        <f>H124</f>
        <v>0.27467537731822445</v>
      </c>
      <c r="H124">
        <f>SUM(Y124:Z124)</f>
        <v>0.27467537731822445</v>
      </c>
      <c r="J124">
        <f>J118/J117</f>
        <v>0.14235500878734622</v>
      </c>
      <c r="K124">
        <f>Z124</f>
        <v>0.14463452566096424</v>
      </c>
      <c r="M124">
        <f>M118/M117</f>
        <v>0.5362318840579711</v>
      </c>
      <c r="N124">
        <f>N118/N117</f>
        <v>0.5263157894736842</v>
      </c>
      <c r="O124">
        <f>O118/O117</f>
        <v>0.6451612903225806</v>
      </c>
      <c r="P124">
        <f>P118/P117</f>
        <v>0.5106382978723404</v>
      </c>
      <c r="Q124">
        <f>Q118/Q117</f>
        <v>3.411764705882353</v>
      </c>
      <c r="R124">
        <f>R118/R117</f>
        <v>3.788235294117647</v>
      </c>
      <c r="S124">
        <f>S118/S117</f>
        <v>3.8425925925925926</v>
      </c>
      <c r="T124">
        <f>T118/T117</f>
        <v>0.6983870967741935</v>
      </c>
      <c r="U124">
        <f>U118/U117</f>
        <v>0.7147766323024055</v>
      </c>
      <c r="V124">
        <f>V118/V117</f>
        <v>0.7465069860279441</v>
      </c>
      <c r="W124">
        <f>W118/W117</f>
        <v>0.14235500878734622</v>
      </c>
      <c r="X124">
        <f>X118/X117</f>
        <v>0.6752475247524753</v>
      </c>
      <c r="Y124">
        <f>Y118/Y117</f>
        <v>0.12946428571428573</v>
      </c>
      <c r="Z124">
        <f>Z118/Z117</f>
        <v>0.14463452566096424</v>
      </c>
      <c r="AA124">
        <f>AA118/AA117</f>
        <v>0.14263074484944532</v>
      </c>
      <c r="AB124">
        <f>AB118/AB117</f>
        <v>0.1297071129707113</v>
      </c>
      <c r="AC124">
        <f>AC118/AC117</f>
        <v>0.09278350515463918</v>
      </c>
      <c r="AD124">
        <f>AD118/AD117</f>
        <v>0.11070780399274047</v>
      </c>
      <c r="AE124">
        <f>AE118/AE117</f>
        <v>0.06198347107438017</v>
      </c>
      <c r="AF124">
        <f>AF118/AF117</f>
        <v>0.09026548672566372</v>
      </c>
      <c r="AG124">
        <f>AG118/AG117</f>
        <v>0.07256235827664399</v>
      </c>
      <c r="AH124">
        <f>AH118/AH117</f>
        <v>0.10649819494584838</v>
      </c>
      <c r="AI124">
        <f>AI118/AI117</f>
        <v>0.11744386873920552</v>
      </c>
      <c r="AJ124">
        <f>AJ118/AJ117</f>
        <v>0.1032258064516129</v>
      </c>
      <c r="AK124">
        <f>AK118/AK117</f>
        <v>0.103125</v>
      </c>
      <c r="AL124">
        <f>AL118/AL117</f>
        <v>0.270042194092827</v>
      </c>
      <c r="AM124">
        <f>AM118/AM117</f>
        <v>0.3952569169960474</v>
      </c>
      <c r="AN124">
        <f>AN118/AN117</f>
        <v>0.30491803278688523</v>
      </c>
      <c r="AO124">
        <f>AO118/AO117</f>
        <v>0.29213483146067415</v>
      </c>
      <c r="AP124">
        <f>AP118/AP117</f>
        <v>0.3119266055045872</v>
      </c>
      <c r="AQ124">
        <f>AQ118/AQ117</f>
        <v>0.3146417445482866</v>
      </c>
      <c r="AR124" t="e">
        <f>AR118/AR117</f>
        <v>#DIV/0!</v>
      </c>
      <c r="AS124" t="e">
        <f>AS118/AS117</f>
        <v>#DIV/0!</v>
      </c>
      <c r="AT124" t="e">
        <f>AT118/AT117</f>
        <v>#DIV/0!</v>
      </c>
      <c r="AU124" t="e">
        <f>AU118/AU117</f>
        <v>#DIV/0!</v>
      </c>
      <c r="AV124" t="e">
        <f>AV118/AV117</f>
        <v>#DIV/0!</v>
      </c>
    </row>
    <row r="125">
      <c r="C125" t="str">
        <v>Total Sales</v>
      </c>
      <c r="D125" t="str">
        <v>#</v>
      </c>
      <c r="E125">
        <v>253</v>
      </c>
      <c r="F125">
        <f>H125</f>
        <v>959</v>
      </c>
      <c r="H125">
        <f>SUM(Y125:Z125)</f>
        <v>959</v>
      </c>
      <c r="J125">
        <f>W125</f>
        <v>84</v>
      </c>
      <c r="K125">
        <f>Z125</f>
        <v>96</v>
      </c>
      <c r="M125">
        <f>M126+M128</f>
        <v>23</v>
      </c>
      <c r="N125">
        <f>N126+N128</f>
        <v>25</v>
      </c>
      <c r="O125">
        <f>O126+O128</f>
        <v>34</v>
      </c>
      <c r="P125">
        <f>P126+P128</f>
        <v>20</v>
      </c>
      <c r="Q125">
        <f>Q126+Q128</f>
        <v>54</v>
      </c>
      <c r="R125">
        <f>R126+R128</f>
        <v>67</v>
      </c>
      <c r="S125">
        <f>S126+S128</f>
        <v>80</v>
      </c>
      <c r="T125">
        <f>T126+T128</f>
        <v>83</v>
      </c>
      <c r="U125">
        <f>U126+U128</f>
        <v>78</v>
      </c>
      <c r="V125">
        <f>V126+V128</f>
        <v>78</v>
      </c>
      <c r="W125">
        <f>W126+W128</f>
        <v>84</v>
      </c>
      <c r="X125">
        <f>X126+X128</f>
        <v>125</v>
      </c>
      <c r="Y125">
        <f>Y126+Y128</f>
        <v>94</v>
      </c>
      <c r="Z125">
        <f>Z126+Z128</f>
        <v>96</v>
      </c>
      <c r="AA125">
        <f>AA126+AA128</f>
        <v>92</v>
      </c>
      <c r="AB125">
        <f>AB126+AB128</f>
        <v>67</v>
      </c>
      <c r="AC125">
        <f>AC126+AC128</f>
        <v>91</v>
      </c>
      <c r="AD125">
        <f>AD126+AD128</f>
        <v>89</v>
      </c>
      <c r="AE125">
        <f>AE126+AE128</f>
        <v>67</v>
      </c>
      <c r="AF125">
        <f>AF126+AF128</f>
        <v>189</v>
      </c>
      <c r="AG125">
        <f>AG126+AG128</f>
        <v>60</v>
      </c>
      <c r="AH125">
        <f>AH126+AH128</f>
        <v>89</v>
      </c>
      <c r="AI125">
        <f>AI126+AI128</f>
        <v>93</v>
      </c>
      <c r="AJ125">
        <f>AJ126+AJ128</f>
        <v>105</v>
      </c>
      <c r="AK125">
        <f>AK126+AK128</f>
        <v>104</v>
      </c>
      <c r="AL125">
        <f>AL126+AL128</f>
        <v>84</v>
      </c>
      <c r="AM125">
        <f>AM126+AM128</f>
        <v>127</v>
      </c>
      <c r="AN125">
        <f>AN126+AN128</f>
        <v>125</v>
      </c>
      <c r="AO125">
        <f>AO126+AO128</f>
        <v>143</v>
      </c>
      <c r="AP125">
        <f>AP126+AP128</f>
        <v>133</v>
      </c>
      <c r="AQ125">
        <f>AQ126+AQ128</f>
        <v>123</v>
      </c>
      <c r="AR125">
        <f>AR126+AR128</f>
        <v>0</v>
      </c>
      <c r="AS125">
        <f>AS126+AS128</f>
        <v>0</v>
      </c>
      <c r="AT125">
        <f>AT126+AT128</f>
        <v>0</v>
      </c>
      <c r="AU125">
        <f>AU126+AU128</f>
        <v>0</v>
      </c>
      <c r="AV125">
        <f>AV126+AV128</f>
        <v>0</v>
      </c>
    </row>
    <row r="126">
      <c r="C126" t="str">
        <v>NB Sales</v>
      </c>
      <c r="D126" t="str">
        <v>#</v>
      </c>
      <c r="E126">
        <v>253</v>
      </c>
      <c r="F126">
        <f>H126</f>
        <v>851</v>
      </c>
      <c r="H126">
        <f>SUM(Y126:Z126)</f>
        <v>851</v>
      </c>
      <c r="J126">
        <f>W126</f>
        <v>80</v>
      </c>
      <c r="K126">
        <f>Z126</f>
        <v>87</v>
      </c>
      <c r="M126">
        <f>M146+M193</f>
        <v>23</v>
      </c>
      <c r="N126">
        <f>N146+N193</f>
        <v>25</v>
      </c>
      <c r="O126">
        <f>O146+O193</f>
        <v>34</v>
      </c>
      <c r="P126">
        <f>P146+P193</f>
        <v>20</v>
      </c>
      <c r="Q126">
        <f>Q146+Q193</f>
        <v>54</v>
      </c>
      <c r="R126">
        <f>R146+R193</f>
        <v>67</v>
      </c>
      <c r="S126">
        <f>S146+S193</f>
        <v>80</v>
      </c>
      <c r="T126">
        <f>T146+T193</f>
        <v>83</v>
      </c>
      <c r="U126">
        <f>U146+U193</f>
        <v>78</v>
      </c>
      <c r="V126">
        <f>V146+V193</f>
        <v>70</v>
      </c>
      <c r="W126">
        <f>W146+W193</f>
        <v>80</v>
      </c>
      <c r="X126">
        <f>X146+X193</f>
        <v>65</v>
      </c>
      <c r="Y126">
        <f>Y146+Y193</f>
        <v>82</v>
      </c>
      <c r="Z126">
        <f>Z146+Z193</f>
        <v>87</v>
      </c>
      <c r="AA126">
        <f>AA146+AA193</f>
        <v>86</v>
      </c>
      <c r="AB126">
        <f>AB146+AB193</f>
        <v>58</v>
      </c>
      <c r="AC126">
        <f>AC146+AC193</f>
        <v>51</v>
      </c>
      <c r="AD126">
        <f>AD146+AD193</f>
        <v>57</v>
      </c>
      <c r="AE126">
        <f>AE146+AE193</f>
        <v>26</v>
      </c>
      <c r="AF126">
        <f>AF146+AF193</f>
        <v>47</v>
      </c>
      <c r="AG126">
        <f>AG146+AG193</f>
        <v>29</v>
      </c>
      <c r="AH126">
        <f>AH146+AH193</f>
        <v>55</v>
      </c>
      <c r="AI126">
        <f>AI146+AI193</f>
        <v>60</v>
      </c>
      <c r="AJ126">
        <f>AJ146+AJ193</f>
        <v>59</v>
      </c>
      <c r="AK126">
        <f>AK146+AK193</f>
        <v>61</v>
      </c>
      <c r="AL126">
        <f>AL146+AL193</f>
        <v>60</v>
      </c>
      <c r="AM126">
        <f>AM146+AM193</f>
        <v>88</v>
      </c>
      <c r="AN126">
        <f>AN146+AN193</f>
        <v>79</v>
      </c>
      <c r="AO126">
        <f>AO146+AO193</f>
        <v>90</v>
      </c>
      <c r="AP126">
        <f>AP146+AP193</f>
        <v>89</v>
      </c>
      <c r="AQ126">
        <f>AQ146+AQ193</f>
        <v>87</v>
      </c>
      <c r="AR126">
        <f>AR146+AR193</f>
        <v>0</v>
      </c>
      <c r="AS126">
        <f>AS146+AS193</f>
        <v>0</v>
      </c>
      <c r="AT126">
        <f>AT146+AT193</f>
        <v>0</v>
      </c>
      <c r="AU126">
        <f>AU146+AU193</f>
        <v>0</v>
      </c>
      <c r="AV126">
        <f>AV146+AV193</f>
        <v>0</v>
      </c>
    </row>
    <row r="127">
      <c r="C127" t="str">
        <v xml:space="preserve"> - New Sales %</v>
      </c>
      <c r="D127" t="str">
        <v>%</v>
      </c>
      <c r="T127">
        <f>T126/T125</f>
        <v>1</v>
      </c>
      <c r="U127">
        <f>U126/U125</f>
        <v>1</v>
      </c>
      <c r="V127">
        <f>V126/V125</f>
        <v>0.8974358974358975</v>
      </c>
      <c r="W127">
        <f>W126/W125</f>
        <v>0.9523809523809523</v>
      </c>
      <c r="X127">
        <f>X126/X125</f>
        <v>0.52</v>
      </c>
      <c r="Y127">
        <f>Y126/Y125</f>
        <v>0.8723404255319149</v>
      </c>
      <c r="Z127">
        <f>Z126/Z125</f>
        <v>0.90625</v>
      </c>
      <c r="AA127">
        <f>AA126/AA125</f>
        <v>0.9347826086956522</v>
      </c>
      <c r="AB127">
        <f>AB126/AB125</f>
        <v>0.8656716417910447</v>
      </c>
      <c r="AC127">
        <f>AC126/AC125</f>
        <v>0.5604395604395604</v>
      </c>
      <c r="AD127">
        <f>AD126/AD125</f>
        <v>0.6404494382022472</v>
      </c>
      <c r="AE127">
        <f>AE126/AE125</f>
        <v>0.3880597014925373</v>
      </c>
      <c r="AF127">
        <f>AF126/AF125</f>
        <v>0.24867724867724866</v>
      </c>
      <c r="AG127">
        <f>AG126/AG125</f>
        <v>0.48333333333333334</v>
      </c>
      <c r="AH127">
        <f>AH126/AH125</f>
        <v>0.6179775280898876</v>
      </c>
      <c r="AI127">
        <f>AI126/AI125</f>
        <v>0.6451612903225806</v>
      </c>
      <c r="AJ127">
        <f>AJ126/AJ125</f>
        <v>0.5619047619047619</v>
      </c>
      <c r="AK127">
        <f>AK126/AK125</f>
        <v>0.5865384615384616</v>
      </c>
      <c r="AL127">
        <f>AL126/AL125</f>
        <v>0.7142857142857143</v>
      </c>
      <c r="AM127">
        <f>AM126/AM125</f>
        <v>0.6929133858267716</v>
      </c>
      <c r="AN127">
        <f>AN126/AN125</f>
        <v>0.632</v>
      </c>
      <c r="AO127">
        <f>AO126/AO125</f>
        <v>0.6293706293706294</v>
      </c>
      <c r="AP127">
        <f>AP126/AP125</f>
        <v>0.6691729323308271</v>
      </c>
      <c r="AQ127">
        <f>AQ126/AQ125</f>
        <v>0.7073170731707317</v>
      </c>
      <c r="AR127" t="e">
        <f>AR126/AR125</f>
        <v>#DIV/0!</v>
      </c>
      <c r="AS127" t="e">
        <f>AS126/AS125</f>
        <v>#DIV/0!</v>
      </c>
      <c r="AT127" t="e">
        <f>AT126/AT125</f>
        <v>#DIV/0!</v>
      </c>
      <c r="AU127" t="e">
        <f>AU126/AU125</f>
        <v>#DIV/0!</v>
      </c>
      <c r="AV127" t="e">
        <f>AV126/AV125</f>
        <v>#DIV/0!</v>
      </c>
    </row>
    <row r="128">
      <c r="C128" t="str">
        <v>RN Sales</v>
      </c>
      <c r="D128" t="str">
        <v>#</v>
      </c>
      <c r="F128">
        <f>H128</f>
        <v>108</v>
      </c>
      <c r="H128">
        <f>SUM(Y128:Z128)</f>
        <v>108</v>
      </c>
      <c r="J128">
        <f>W128</f>
        <v>4</v>
      </c>
      <c r="K128">
        <f>Z128</f>
        <v>9</v>
      </c>
      <c r="V128">
        <v>8</v>
      </c>
      <c r="W128">
        <v>4</v>
      </c>
      <c r="X128">
        <f>45+15</f>
        <v>60</v>
      </c>
      <c r="Y128">
        <f>Y244+Y245</f>
        <v>12</v>
      </c>
      <c r="Z128">
        <f>Z244+Z245</f>
        <v>9</v>
      </c>
      <c r="AA128">
        <f>AA244+AA245</f>
        <v>6</v>
      </c>
      <c r="AB128">
        <f>AB244+AB245</f>
        <v>9</v>
      </c>
      <c r="AC128">
        <f>AC244+AC245</f>
        <v>40</v>
      </c>
      <c r="AD128">
        <f>AD244+AD245</f>
        <v>32</v>
      </c>
      <c r="AE128">
        <f>AE244+AE245</f>
        <v>41</v>
      </c>
      <c r="AF128">
        <f>AF244+AF245</f>
        <v>142</v>
      </c>
      <c r="AG128">
        <f>AG244+AG245</f>
        <v>31</v>
      </c>
      <c r="AH128">
        <f>AH244+AH245</f>
        <v>34</v>
      </c>
      <c r="AI128">
        <f>AI244+AI245</f>
        <v>33</v>
      </c>
      <c r="AJ128">
        <f>AJ244+AJ245</f>
        <v>46</v>
      </c>
      <c r="AK128">
        <f>AK244+AK245</f>
        <v>43</v>
      </c>
      <c r="AL128">
        <f>AL244+AL245</f>
        <v>24</v>
      </c>
      <c r="AM128">
        <f>AM244+AM245</f>
        <v>39</v>
      </c>
      <c r="AN128">
        <f>AN244+AN245</f>
        <v>46</v>
      </c>
      <c r="AO128">
        <f>AO244+AO245</f>
        <v>53</v>
      </c>
      <c r="AP128">
        <f>AP244+AP245</f>
        <v>44</v>
      </c>
      <c r="AQ128">
        <f>AQ244+AQ245</f>
        <v>36</v>
      </c>
      <c r="AR128">
        <f>AR244+AR245</f>
        <v>0</v>
      </c>
      <c r="AS128">
        <f>AS244+AS245</f>
        <v>0</v>
      </c>
      <c r="AT128">
        <f>AT244+AT245</f>
        <v>0</v>
      </c>
      <c r="AU128">
        <f>AU244+AU245</f>
        <v>0</v>
      </c>
      <c r="AV128">
        <f>AV244+AV245</f>
        <v>0</v>
      </c>
    </row>
    <row r="129">
      <c r="C129" t="str">
        <v xml:space="preserve"> - Renewal %</v>
      </c>
      <c r="D129" t="str">
        <v>%</v>
      </c>
      <c r="T129">
        <f>T128/T125</f>
        <v>0</v>
      </c>
      <c r="U129">
        <f>U128/U125</f>
        <v>0</v>
      </c>
      <c r="V129">
        <f>V128/V125</f>
        <v>0.10256410256410256</v>
      </c>
      <c r="W129">
        <f>W128/W125</f>
        <v>0.047619047619047616</v>
      </c>
      <c r="X129">
        <f>X128/X125</f>
        <v>0.48</v>
      </c>
      <c r="Y129">
        <f>Y128/Y125</f>
        <v>0.1276595744680851</v>
      </c>
      <c r="Z129">
        <f>Z128/Z125</f>
        <v>0.09375</v>
      </c>
      <c r="AA129">
        <f>AA128/AA125</f>
        <v>0.06521739130434782</v>
      </c>
      <c r="AB129">
        <f>AB128/AB125</f>
        <v>0.13432835820895522</v>
      </c>
      <c r="AC129">
        <f>AC128/AC125</f>
        <v>0.43956043956043955</v>
      </c>
      <c r="AD129">
        <f>AD128/AD125</f>
        <v>0.3595505617977528</v>
      </c>
      <c r="AE129">
        <f>AE128/AE125</f>
        <v>0.6119402985074627</v>
      </c>
      <c r="AF129">
        <f>AF128/AF125</f>
        <v>0.7513227513227513</v>
      </c>
      <c r="AG129">
        <f>AG128/AG125</f>
        <v>0.5166666666666667</v>
      </c>
      <c r="AH129">
        <f>AH128/AH125</f>
        <v>0.38202247191011235</v>
      </c>
      <c r="AI129">
        <f>AI128/AI125</f>
        <v>0.3548387096774194</v>
      </c>
      <c r="AJ129">
        <f>AJ128/AJ125</f>
        <v>0.4380952380952381</v>
      </c>
      <c r="AK129">
        <f>AK128/AK125</f>
        <v>0.41346153846153844</v>
      </c>
      <c r="AL129">
        <f>AL128/AL125</f>
        <v>0.2857142857142857</v>
      </c>
      <c r="AM129">
        <f>AM128/AM125</f>
        <v>0.30708661417322836</v>
      </c>
      <c r="AN129">
        <f>AN128/AN125</f>
        <v>0.368</v>
      </c>
      <c r="AO129">
        <f>AO128/AO125</f>
        <v>0.3706293706293706</v>
      </c>
      <c r="AP129">
        <f>AP128/AP125</f>
        <v>0.3308270676691729</v>
      </c>
      <c r="AQ129">
        <f>AQ128/AQ125</f>
        <v>0.2926829268292683</v>
      </c>
      <c r="AR129" t="e">
        <f>AR128/AR125</f>
        <v>#DIV/0!</v>
      </c>
      <c r="AS129" t="e">
        <f>AS128/AS125</f>
        <v>#DIV/0!</v>
      </c>
      <c r="AT129" t="e">
        <f>AT128/AT125</f>
        <v>#DIV/0!</v>
      </c>
      <c r="AU129" t="e">
        <f>AU128/AU125</f>
        <v>#DIV/0!</v>
      </c>
      <c r="AV129" t="e">
        <f>AV128/AV125</f>
        <v>#DIV/0!</v>
      </c>
    </row>
    <row r="130">
      <c r="C130" t="str">
        <v>Conversion Rate (S/A)</v>
      </c>
      <c r="D130" t="str">
        <v>%</v>
      </c>
      <c r="E130">
        <f>E125/E118</f>
        <v>0.3922480620155039</v>
      </c>
      <c r="F130">
        <f>H130</f>
        <v>1.8874571799818876</v>
      </c>
      <c r="H130">
        <f>SUM(Y130:Z130)</f>
        <v>1.8874571799818876</v>
      </c>
      <c r="J130">
        <f>W130</f>
        <v>0.9876543209876543</v>
      </c>
      <c r="K130">
        <f>Z130</f>
        <v>0.9354838709677419</v>
      </c>
      <c r="M130">
        <f>M126/M118</f>
        <v>0.6216216216216216</v>
      </c>
      <c r="N130">
        <f>N126/N118</f>
        <v>0.8333333333333334</v>
      </c>
      <c r="O130">
        <f>O126/O118</f>
        <v>0.85</v>
      </c>
      <c r="P130">
        <f>P126/P118</f>
        <v>0.8333333333333334</v>
      </c>
      <c r="Q130">
        <f>Q126/Q118</f>
        <v>0.18620689655172415</v>
      </c>
      <c r="R130">
        <f>R126/R118</f>
        <v>0.2080745341614907</v>
      </c>
      <c r="S130">
        <f>S126/S118</f>
        <v>0.1927710843373494</v>
      </c>
      <c r="T130">
        <f>T126/T118</f>
        <v>0.19168591224018475</v>
      </c>
      <c r="U130">
        <f>U126/U118</f>
        <v>0.1875</v>
      </c>
      <c r="V130">
        <f>V126/V118</f>
        <v>0.18716577540106952</v>
      </c>
      <c r="W130">
        <f>W126/W118</f>
        <v>0.9876543209876543</v>
      </c>
      <c r="X130">
        <f>X126/X118</f>
        <v>0.1906158357771261</v>
      </c>
      <c r="Y130">
        <f>Y126/Y118</f>
        <v>0.9425287356321839</v>
      </c>
      <c r="Z130">
        <f>Z126/Z118</f>
        <v>0.9354838709677419</v>
      </c>
      <c r="AA130">
        <f>AA126/AA118</f>
        <v>0.9555555555555556</v>
      </c>
      <c r="AB130">
        <f>AB126/AB118</f>
        <v>0.9354838709677419</v>
      </c>
      <c r="AC130">
        <f>AC126/AC118</f>
        <v>0.9444444444444444</v>
      </c>
      <c r="AD130">
        <f>AD126/AD118</f>
        <v>0.9344262295081968</v>
      </c>
      <c r="AE130">
        <f>AE126/AE118</f>
        <v>0.8666666666666667</v>
      </c>
      <c r="AF130">
        <f>AF126/AF118</f>
        <v>0.9215686274509803</v>
      </c>
      <c r="AG130">
        <f>AG126/AG118</f>
        <v>0.90625</v>
      </c>
      <c r="AH130">
        <f>AH126/AH118</f>
        <v>0.9322033898305084</v>
      </c>
      <c r="AI130">
        <f>AI126/AI118</f>
        <v>0.8823529411764706</v>
      </c>
      <c r="AJ130">
        <f>AJ126/AJ118</f>
        <v>0.921875</v>
      </c>
      <c r="AK130">
        <f>AK126/AK118</f>
        <v>0.9242424242424242</v>
      </c>
      <c r="AL130">
        <f>AL126/AL118</f>
        <v>0.9375</v>
      </c>
      <c r="AM130">
        <f>AM126/AM118</f>
        <v>0.88</v>
      </c>
      <c r="AN130">
        <f>AN126/AN118</f>
        <v>0.8494623655913979</v>
      </c>
      <c r="AO130">
        <f>AO126/AO118</f>
        <v>0.8653846153846154</v>
      </c>
      <c r="AP130">
        <f>AP126/AP118</f>
        <v>0.8725490196078431</v>
      </c>
      <c r="AQ130">
        <f>AQ126/AQ118</f>
        <v>0.8613861386138614</v>
      </c>
      <c r="AR130" t="e">
        <f>AR126/AR118</f>
        <v>#DIV/0!</v>
      </c>
      <c r="AS130" t="e">
        <f>AS126/AS118</f>
        <v>#DIV/0!</v>
      </c>
      <c r="AT130" t="e">
        <f>AT126/AT118</f>
        <v>#DIV/0!</v>
      </c>
      <c r="AU130" t="e">
        <f>AU126/AU118</f>
        <v>#DIV/0!</v>
      </c>
      <c r="AV130" t="e">
        <f>AV126/AV118</f>
        <v>#DIV/0!</v>
      </c>
    </row>
    <row r="131">
      <c r="C131" t="str">
        <v>Sales/Motor Checked</v>
      </c>
      <c r="D131" t="str">
        <v>%</v>
      </c>
      <c r="E131">
        <f>E126/E7</f>
        <v>0.01788617886178862</v>
      </c>
      <c r="F131">
        <f>F126/F7</f>
        <v>0.14147963424771404</v>
      </c>
      <c r="H131">
        <f>SUM(Y131:Z131)</f>
        <v>0.2836745115452931</v>
      </c>
      <c r="J131">
        <f>J126/J7</f>
        <v>0.1652892561983471</v>
      </c>
      <c r="K131">
        <f>Z131</f>
        <v>0.1359375</v>
      </c>
      <c r="M131">
        <f>M126/M7</f>
        <v>0.02911392405063291</v>
      </c>
      <c r="N131">
        <f>N126/N7</f>
        <v>0.04401408450704225</v>
      </c>
      <c r="O131">
        <f>O126/O7</f>
        <v>0.04985337243401759</v>
      </c>
      <c r="P131">
        <f>P126/P7</f>
        <v>0.027472527472527472</v>
      </c>
      <c r="Q131">
        <f>Q126/Q7</f>
        <v>0.08047690014903129</v>
      </c>
      <c r="R131">
        <f>R126/R7</f>
        <v>0.1085899513776337</v>
      </c>
      <c r="S131">
        <f>S126/S7</f>
        <v>0.13793103448275862</v>
      </c>
      <c r="T131">
        <f>T126/T7</f>
        <v>0.15485074626865672</v>
      </c>
      <c r="U131">
        <f>U126/U7</f>
        <v>0.19164619164619165</v>
      </c>
      <c r="V131">
        <f>V126/V7</f>
        <v>0.16587677725118483</v>
      </c>
      <c r="W131">
        <f>W126/W7</f>
        <v>0.1652892561983471</v>
      </c>
      <c r="X131">
        <f>X126/X7</f>
        <v>0.1434878587196468</v>
      </c>
      <c r="Y131">
        <f>Y126/Y7</f>
        <v>0.14564831261101244</v>
      </c>
      <c r="Z131">
        <f>Z126/Z7</f>
        <v>0.1359375</v>
      </c>
      <c r="AA131">
        <f>AA126/AA7</f>
        <v>0.1237410071942446</v>
      </c>
      <c r="AB131">
        <f>AB126/AB7</f>
        <v>0.1228813559322034</v>
      </c>
      <c r="AC131">
        <f>AC126/AC7</f>
        <v>0.1159090909090909</v>
      </c>
      <c r="AD131">
        <f>AD126/AD7</f>
        <v>0.10614525139664804</v>
      </c>
      <c r="AE131">
        <f>AE126/AE7</f>
        <v>0.04905660377358491</v>
      </c>
      <c r="AF131">
        <f>AF126/AF7</f>
        <v>0.015651015651015652</v>
      </c>
      <c r="AG131">
        <f>AG126/AG7</f>
        <v>0.08357348703170028</v>
      </c>
      <c r="AH131">
        <f>AH126/AH7</f>
        <v>0.020530048525569243</v>
      </c>
      <c r="AI131">
        <f>AI126/AI7</f>
        <v>0.0947867298578199</v>
      </c>
      <c r="AJ131">
        <f>AJ126/AJ7</f>
        <v>0.10460992907801418</v>
      </c>
      <c r="AK131">
        <f>AK126/AK7</f>
        <v>0.11619047619047619</v>
      </c>
      <c r="AL131">
        <f>AL126/AL7</f>
        <v>0.13043478260869565</v>
      </c>
      <c r="AM131">
        <f>AM126/AM7</f>
        <v>0.15172413793103448</v>
      </c>
      <c r="AN131">
        <f>AN126/AN7</f>
        <v>0.1880952380952381</v>
      </c>
      <c r="AO131">
        <f>AO126/AO7</f>
        <v>0.225</v>
      </c>
      <c r="AP131">
        <f>AP126/AP7</f>
        <v>0.1934782608695652</v>
      </c>
      <c r="AQ131">
        <f>AQ126/AQ7</f>
        <v>0.18125</v>
      </c>
      <c r="AR131" t="e">
        <f>AR126/AR7</f>
        <v>#DIV/0!</v>
      </c>
      <c r="AS131" t="e">
        <f>AS126/AS7</f>
        <v>#DIV/0!</v>
      </c>
      <c r="AT131" t="e">
        <f>AT126/AT7</f>
        <v>#DIV/0!</v>
      </c>
      <c r="AU131" t="e">
        <f>AU126/AU7</f>
        <v>#DIV/0!</v>
      </c>
      <c r="AV131" t="e">
        <f>AV126/AV7</f>
        <v>#DIV/0!</v>
      </c>
    </row>
    <row r="133">
      <c r="C133" t="str">
        <v>All Channel</v>
      </c>
      <c r="D133" t="str">
        <v>#</v>
      </c>
      <c r="M133">
        <v>23</v>
      </c>
      <c r="N133">
        <v>25</v>
      </c>
      <c r="O133">
        <v>35</v>
      </c>
      <c r="P133">
        <v>20</v>
      </c>
      <c r="Q133">
        <f>Q134+Q136</f>
        <v>54</v>
      </c>
      <c r="R133">
        <f>R134+R136</f>
        <v>67</v>
      </c>
      <c r="S133">
        <f>S134+S136</f>
        <v>81</v>
      </c>
      <c r="T133">
        <f>T134+T136</f>
        <v>84</v>
      </c>
      <c r="U133">
        <f>U134+U136</f>
        <v>79</v>
      </c>
      <c r="V133">
        <f>V134+V136</f>
        <v>69</v>
      </c>
      <c r="W133">
        <f>W134+W136</f>
        <v>80</v>
      </c>
      <c r="X133">
        <f>X134+X136</f>
        <v>65</v>
      </c>
      <c r="Y133">
        <f>Y134+Y136</f>
        <v>82</v>
      </c>
      <c r="Z133">
        <f>Z134+Z136</f>
        <v>87</v>
      </c>
      <c r="AA133">
        <f>AA134+AA136</f>
        <v>86</v>
      </c>
      <c r="AB133">
        <f>AB134+AB136</f>
        <v>58</v>
      </c>
      <c r="AC133">
        <f>AC134+AC136</f>
        <v>51</v>
      </c>
      <c r="AD133">
        <f>AD134+AD136</f>
        <v>57</v>
      </c>
      <c r="AE133">
        <f>AE134+AE136</f>
        <v>26</v>
      </c>
      <c r="AF133">
        <f>AF134+AF136</f>
        <v>47</v>
      </c>
      <c r="AG133">
        <f>AG134+AG136</f>
        <v>29</v>
      </c>
      <c r="AH133">
        <f>AH134+AH136</f>
        <v>55</v>
      </c>
      <c r="AI133">
        <f>AI134+AI136</f>
        <v>60</v>
      </c>
      <c r="AJ133">
        <f>AJ134+AJ136</f>
        <v>59</v>
      </c>
      <c r="AK133">
        <f>AK134+AK136</f>
        <v>61</v>
      </c>
      <c r="AL133">
        <f>AL134+AL136</f>
        <v>60</v>
      </c>
      <c r="AM133">
        <f>AM134+AM136</f>
        <v>88</v>
      </c>
      <c r="AN133">
        <f>AN134+AN136</f>
        <v>79</v>
      </c>
      <c r="AO133">
        <f>AO134+AO136</f>
        <v>90</v>
      </c>
      <c r="AP133">
        <f>AP134+AP136</f>
        <v>89</v>
      </c>
      <c r="AQ133">
        <f>AQ134+AQ136</f>
        <v>87</v>
      </c>
      <c r="AR133">
        <f>AR134+AR136</f>
        <v>0</v>
      </c>
      <c r="AS133">
        <f>AS134+AS136</f>
        <v>0</v>
      </c>
      <c r="AT133">
        <f>AT134+AT136</f>
        <v>0</v>
      </c>
      <c r="AU133">
        <f>AU134+AU136</f>
        <v>0</v>
      </c>
      <c r="AV133">
        <f>AV134+AV136</f>
        <v>0</v>
      </c>
    </row>
    <row r="134">
      <c r="C134" t="str">
        <v>Online Channel</v>
      </c>
      <c r="D134" t="str">
        <v>#</v>
      </c>
      <c r="M134">
        <v>23</v>
      </c>
      <c r="N134">
        <v>25</v>
      </c>
      <c r="O134">
        <v>28</v>
      </c>
      <c r="P134">
        <f>P148+P195</f>
        <v>14</v>
      </c>
      <c r="Q134">
        <f>Q148+Q195</f>
        <v>26</v>
      </c>
      <c r="R134">
        <f>R148+R195</f>
        <v>34</v>
      </c>
      <c r="S134">
        <f>S148+S195</f>
        <v>42</v>
      </c>
      <c r="T134">
        <f>T148+T195</f>
        <v>39</v>
      </c>
      <c r="U134">
        <f>U148+U195</f>
        <v>42</v>
      </c>
      <c r="V134">
        <f>V148+V195</f>
        <v>36</v>
      </c>
      <c r="W134">
        <f>W148+W195</f>
        <v>42</v>
      </c>
      <c r="X134">
        <f>X148+X195</f>
        <v>33</v>
      </c>
      <c r="Y134">
        <f>Y148+Y195</f>
        <v>44</v>
      </c>
      <c r="Z134">
        <f>Z148+Z195</f>
        <v>44</v>
      </c>
      <c r="AA134">
        <f>AA148+AA195</f>
        <v>39</v>
      </c>
      <c r="AB134">
        <f>AB148+AB195</f>
        <v>29</v>
      </c>
      <c r="AC134">
        <f>AC148+AC195</f>
        <v>27</v>
      </c>
      <c r="AD134">
        <f>AD148+AD195</f>
        <v>28</v>
      </c>
      <c r="AE134">
        <f>AE148+AE195</f>
        <v>18</v>
      </c>
      <c r="AF134">
        <f>AF148+AF195</f>
        <v>25</v>
      </c>
      <c r="AG134">
        <f>AG148+AG195</f>
        <v>15</v>
      </c>
      <c r="AH134">
        <f>AH148+AH195</f>
        <v>20</v>
      </c>
      <c r="AI134">
        <f>AI148+AI195</f>
        <v>18</v>
      </c>
      <c r="AJ134">
        <f>AJ148+AJ195</f>
        <v>20</v>
      </c>
      <c r="AK134">
        <f>AK148+AK159+AK195+AK206</f>
        <v>15</v>
      </c>
      <c r="AL134">
        <f>AL148+AL159+AL195+AL206</f>
        <v>14</v>
      </c>
      <c r="AM134">
        <f>AM148+AM159+AM195+AM206</f>
        <v>32</v>
      </c>
      <c r="AN134">
        <f>AN148+AN159+AN195+AN206</f>
        <v>27</v>
      </c>
      <c r="AO134">
        <f>AO148+AO159+AO195+AO206</f>
        <v>34</v>
      </c>
      <c r="AP134">
        <f>AP148+AP159+AP195+AP206</f>
        <v>33</v>
      </c>
      <c r="AQ134">
        <f>AQ148+AQ159+AQ195+AQ206</f>
        <v>37</v>
      </c>
      <c r="AR134">
        <f>AR148+AR159+AR195+AR206</f>
        <v>0</v>
      </c>
      <c r="AS134">
        <f>AS148+AS159+AS195+AS206</f>
        <v>0</v>
      </c>
      <c r="AT134">
        <f>AT148+AT159+AT195+AT206</f>
        <v>0</v>
      </c>
      <c r="AU134">
        <f>AU148+AU159+AU195+AU206</f>
        <v>0</v>
      </c>
      <c r="AV134">
        <f>AV148+AV159+AV195+AV206</f>
        <v>0</v>
      </c>
    </row>
    <row r="135">
      <c r="C135" t="str">
        <v>Online Channel %</v>
      </c>
      <c r="D135" t="str">
        <v>%</v>
      </c>
      <c r="P135">
        <f>P134/P133</f>
        <v>0.7</v>
      </c>
      <c r="Q135">
        <f>Q134/Q133</f>
        <v>0.48148148148148145</v>
      </c>
      <c r="R135">
        <f>R134/R133</f>
        <v>0.5074626865671642</v>
      </c>
      <c r="S135">
        <f>S134/S133</f>
        <v>0.5185185185185185</v>
      </c>
      <c r="T135">
        <f>T134/T133</f>
        <v>0.4642857142857143</v>
      </c>
      <c r="U135">
        <f>U134/U133</f>
        <v>0.5316455696202531</v>
      </c>
      <c r="V135">
        <f>V134/V133</f>
        <v>0.5217391304347826</v>
      </c>
      <c r="W135">
        <f>W134/W133</f>
        <v>0.525</v>
      </c>
      <c r="X135">
        <f>X134/X133</f>
        <v>0.5076923076923077</v>
      </c>
      <c r="Y135">
        <f>Y134/Y133</f>
        <v>0.5365853658536586</v>
      </c>
      <c r="Z135">
        <f>Z134/Z133</f>
        <v>0.5057471264367817</v>
      </c>
      <c r="AA135">
        <f>AA134/AA133</f>
        <v>0.45348837209302323</v>
      </c>
      <c r="AB135">
        <f>AB134/AB133</f>
        <v>0.5</v>
      </c>
      <c r="AC135">
        <f>AC134/AC133</f>
        <v>0.5294117647058824</v>
      </c>
      <c r="AD135">
        <f>AD134/AD133</f>
        <v>0.49122807017543857</v>
      </c>
      <c r="AE135">
        <f>AE134/AE133</f>
        <v>0.6923076923076923</v>
      </c>
      <c r="AF135">
        <f>AF134/AF133</f>
        <v>0.5319148936170213</v>
      </c>
      <c r="AG135">
        <f>AG134/AG133</f>
        <v>0.5172413793103449</v>
      </c>
      <c r="AH135">
        <f>AH134/AH133</f>
        <v>0.36363636363636365</v>
      </c>
      <c r="AI135">
        <f>AI134/AI133</f>
        <v>0.3</v>
      </c>
      <c r="AJ135">
        <f>AJ134/AJ133</f>
        <v>0.3389830508474576</v>
      </c>
      <c r="AK135">
        <f>AK134/AK133</f>
        <v>0.2459016393442623</v>
      </c>
      <c r="AL135">
        <f>AL134/AL133</f>
        <v>0.23333333333333334</v>
      </c>
      <c r="AM135">
        <f>AM134/AM133</f>
        <v>0.36363636363636365</v>
      </c>
      <c r="AN135">
        <f>AN134/AN133</f>
        <v>0.34177215189873417</v>
      </c>
      <c r="AO135">
        <f>AO134/AO133</f>
        <v>0.37777777777777777</v>
      </c>
      <c r="AP135">
        <f>AP134/AP133</f>
        <v>0.3707865168539326</v>
      </c>
      <c r="AQ135">
        <f>AQ134/AQ133</f>
        <v>0.42528735632183906</v>
      </c>
      <c r="AR135" t="e">
        <f>AR134/AR133</f>
        <v>#DIV/0!</v>
      </c>
      <c r="AS135" t="e">
        <f>AS134/AS133</f>
        <v>#DIV/0!</v>
      </c>
      <c r="AT135" t="e">
        <f>AT134/AT133</f>
        <v>#DIV/0!</v>
      </c>
      <c r="AU135" t="e">
        <f>AU134/AU133</f>
        <v>#DIV/0!</v>
      </c>
      <c r="AV135" t="e">
        <f>AV134/AV133</f>
        <v>#DIV/0!</v>
      </c>
    </row>
    <row r="136">
      <c r="C136" t="str">
        <v>Offline Channel</v>
      </c>
      <c r="D136" t="str">
        <v>#</v>
      </c>
      <c r="O136">
        <v>6</v>
      </c>
      <c r="P136">
        <v>6</v>
      </c>
      <c r="Q136">
        <f>Q155+Q202</f>
        <v>28</v>
      </c>
      <c r="R136">
        <f>R155+R202</f>
        <v>33</v>
      </c>
      <c r="S136">
        <f>S155+S202</f>
        <v>39</v>
      </c>
      <c r="T136">
        <f>T155+T202</f>
        <v>45</v>
      </c>
      <c r="U136">
        <f>U155+U202</f>
        <v>37</v>
      </c>
      <c r="V136">
        <f>V155+V202</f>
        <v>33</v>
      </c>
      <c r="W136">
        <f>W155+W202</f>
        <v>38</v>
      </c>
      <c r="X136">
        <f>X155+X202</f>
        <v>32</v>
      </c>
      <c r="Y136">
        <f>Y155+Y202</f>
        <v>38</v>
      </c>
      <c r="Z136">
        <f>Z155+Z202</f>
        <v>43</v>
      </c>
      <c r="AA136">
        <f>AA155+AA202</f>
        <v>47</v>
      </c>
      <c r="AB136">
        <f>AB155+AB202</f>
        <v>29</v>
      </c>
      <c r="AC136">
        <f>AC155+AC202</f>
        <v>24</v>
      </c>
      <c r="AD136">
        <f>AD155+AD202</f>
        <v>29</v>
      </c>
      <c r="AE136">
        <f>AE155+AE202</f>
        <v>8</v>
      </c>
      <c r="AF136">
        <f>AF155+AF202</f>
        <v>22</v>
      </c>
      <c r="AG136">
        <f>AG155+AG202</f>
        <v>14</v>
      </c>
      <c r="AH136">
        <f>AH155+AH202</f>
        <v>35</v>
      </c>
      <c r="AI136">
        <f>AI155+AI202</f>
        <v>42</v>
      </c>
      <c r="AJ136">
        <f>AJ155+AJ202</f>
        <v>39</v>
      </c>
      <c r="AK136">
        <f>AK155+AK166+AK202+AK213</f>
        <v>46</v>
      </c>
      <c r="AL136">
        <f>AL155+AL166+AL202+AL213</f>
        <v>46</v>
      </c>
      <c r="AM136">
        <f>AM155+AM166+AM202+AM213</f>
        <v>56</v>
      </c>
      <c r="AN136">
        <f>AN155+AN166+AN202+AN213</f>
        <v>52</v>
      </c>
      <c r="AO136">
        <f>AO155+AO166+AO202+AO213</f>
        <v>56</v>
      </c>
      <c r="AP136">
        <f>AP155+AP166+AP202+AP213</f>
        <v>56</v>
      </c>
      <c r="AQ136">
        <f>AQ155+AQ166+AQ202+AQ213</f>
        <v>50</v>
      </c>
      <c r="AR136">
        <f>AR155+AR166+AR202+AR213</f>
        <v>0</v>
      </c>
      <c r="AS136">
        <f>AS155+AS166+AS202+AS213</f>
        <v>0</v>
      </c>
      <c r="AT136">
        <f>AT155+AT166+AT202+AT213</f>
        <v>0</v>
      </c>
      <c r="AU136">
        <f>AU155+AU166+AU202+AU213</f>
        <v>0</v>
      </c>
      <c r="AV136">
        <f>AV155+AV166+AV202+AV213</f>
        <v>0</v>
      </c>
    </row>
    <row r="137">
      <c r="C137" t="str">
        <v>Offline Channel %</v>
      </c>
      <c r="D137" t="str">
        <v>%</v>
      </c>
      <c r="P137">
        <f>P136/P133</f>
        <v>0.3</v>
      </c>
      <c r="Q137">
        <f>Q136/Q133</f>
        <v>0.5185185185185185</v>
      </c>
      <c r="R137">
        <f>R136/R133</f>
        <v>0.4925373134328358</v>
      </c>
      <c r="S137">
        <f>S136/S133</f>
        <v>0.48148148148148145</v>
      </c>
      <c r="T137">
        <f>T136/T133</f>
        <v>0.5357142857142857</v>
      </c>
      <c r="U137">
        <f>U136/U133</f>
        <v>0.46835443037974683</v>
      </c>
      <c r="V137">
        <f>V136/V133</f>
        <v>0.4782608695652174</v>
      </c>
      <c r="W137">
        <f>W136/W133</f>
        <v>0.475</v>
      </c>
      <c r="X137">
        <f>X136/X133</f>
        <v>0.49230769230769234</v>
      </c>
      <c r="Y137">
        <f>Y136/Y133</f>
        <v>0.4634146341463415</v>
      </c>
      <c r="Z137">
        <f>Z136/Z133</f>
        <v>0.4942528735632184</v>
      </c>
      <c r="AA137">
        <f>AA136/AA133</f>
        <v>0.5465116279069767</v>
      </c>
      <c r="AB137">
        <f>AB136/AB133</f>
        <v>0.5</v>
      </c>
      <c r="AC137">
        <f>AC136/AC133</f>
        <v>0.47058823529411764</v>
      </c>
      <c r="AD137">
        <f>AD136/AD133</f>
        <v>0.5087719298245614</v>
      </c>
      <c r="AE137">
        <f>AE136/AE133</f>
        <v>0.3076923076923077</v>
      </c>
      <c r="AF137">
        <f>AF136/AF133</f>
        <v>0.46808510638297873</v>
      </c>
      <c r="AG137">
        <f>AG136/AG133</f>
        <v>0.4827586206896552</v>
      </c>
      <c r="AH137">
        <f>AH136/AH133</f>
        <v>0.6363636363636364</v>
      </c>
      <c r="AI137">
        <f>AI136/AI133</f>
        <v>0.7</v>
      </c>
      <c r="AJ137">
        <f>AJ136/AJ133</f>
        <v>0.6610169491525424</v>
      </c>
      <c r="AK137">
        <f>AK136/AK133</f>
        <v>0.7540983606557377</v>
      </c>
      <c r="AL137">
        <f>AL136/AL133</f>
        <v>0.7666666666666667</v>
      </c>
      <c r="AM137">
        <f>AM136/AM133</f>
        <v>0.6363636363636364</v>
      </c>
      <c r="AN137">
        <f>AN136/AN133</f>
        <v>0.6582278481012658</v>
      </c>
      <c r="AO137">
        <f>AO136/AO133</f>
        <v>0.6222222222222222</v>
      </c>
      <c r="AP137">
        <f>AP136/AP133</f>
        <v>0.6292134831460674</v>
      </c>
      <c r="AQ137">
        <f>AQ136/AQ133</f>
        <v>0.5747126436781609</v>
      </c>
      <c r="AR137" t="e">
        <f>AR136/AR133</f>
        <v>#DIV/0!</v>
      </c>
      <c r="AS137" t="e">
        <f>AS136/AS133</f>
        <v>#DIV/0!</v>
      </c>
      <c r="AT137" t="e">
        <f>AT136/AT133</f>
        <v>#DIV/0!</v>
      </c>
      <c r="AU137" t="e">
        <f>AU136/AU133</f>
        <v>#DIV/0!</v>
      </c>
      <c r="AV137" t="e">
        <f>AV136/AV133</f>
        <v>#DIV/0!</v>
      </c>
    </row>
    <row r="138">
      <c r="C138" t="str">
        <v>google sem/online</v>
      </c>
      <c r="P138">
        <f>P140/P134</f>
        <v>0</v>
      </c>
      <c r="Q138">
        <f>Q140/Q134</f>
        <v>0</v>
      </c>
      <c r="R138">
        <f>R140/R134</f>
        <v>0.029411764705882353</v>
      </c>
      <c r="S138">
        <f>S140/S134</f>
        <v>0.11904761904761904</v>
      </c>
      <c r="T138">
        <f>T140/T134</f>
        <v>0.10256410256410256</v>
      </c>
      <c r="U138">
        <f>U140/U134</f>
        <v>0.21428571428571427</v>
      </c>
      <c r="V138">
        <f>V140/V134</f>
        <v>0.25</v>
      </c>
      <c r="W138">
        <f>W140/W134</f>
        <v>0.23809523809523808</v>
      </c>
      <c r="X138">
        <f>X140/X134</f>
        <v>0.18181818181818182</v>
      </c>
      <c r="Y138">
        <f>Y140/Y134</f>
        <v>0.29545454545454547</v>
      </c>
      <c r="Z138">
        <f>Z140/Z134</f>
        <v>0.25</v>
      </c>
      <c r="AA138">
        <f>AA140/AA134</f>
        <v>0.2564102564102564</v>
      </c>
      <c r="AB138">
        <f>AB140/AB134</f>
        <v>0.20689655172413793</v>
      </c>
      <c r="AC138">
        <f>AC140/AC134</f>
        <v>0.2222222222222222</v>
      </c>
      <c r="AD138">
        <f>AD140/AD134</f>
        <v>0.10714285714285714</v>
      </c>
      <c r="AE138">
        <f>AE140/AE134</f>
        <v>0.2777777777777778</v>
      </c>
      <c r="AF138">
        <f>AF140/AF134</f>
        <v>0.2</v>
      </c>
      <c r="AG138">
        <f>AG140/AG134</f>
        <v>0.3333333333333333</v>
      </c>
      <c r="AH138">
        <f>AH140/AH134</f>
        <v>0.35</v>
      </c>
      <c r="AI138">
        <f>AI140/AI134</f>
        <v>0.4444444444444444</v>
      </c>
      <c r="AJ138">
        <f>AJ140/AJ134</f>
        <v>0.45</v>
      </c>
      <c r="AK138">
        <f>AK140/AK134</f>
        <v>0.3333333333333333</v>
      </c>
      <c r="AL138">
        <f>AL140/AL134</f>
        <v>0.07142857142857142</v>
      </c>
      <c r="AM138">
        <f>AM140/AM134</f>
        <v>0</v>
      </c>
      <c r="AN138">
        <f>AN140/AN134</f>
        <v>0</v>
      </c>
      <c r="AO138">
        <f>AO140/AO134</f>
        <v>0</v>
      </c>
      <c r="AP138">
        <f>AP140/AP134</f>
        <v>0</v>
      </c>
      <c r="AQ138">
        <f>AQ140/AQ134</f>
        <v>0</v>
      </c>
      <c r="AR138" t="e">
        <f>AR140/AR134</f>
        <v>#DIV/0!</v>
      </c>
      <c r="AS138" t="e">
        <f>AS140/AS134</f>
        <v>#DIV/0!</v>
      </c>
      <c r="AT138" t="e">
        <f>AT140/AT134</f>
        <v>#DIV/0!</v>
      </c>
      <c r="AU138" t="e">
        <f>AU140/AU134</f>
        <v>#DIV/0!</v>
      </c>
      <c r="AV138" t="e">
        <f>AV140/AV134</f>
        <v>#DIV/0!</v>
      </c>
    </row>
    <row r="139">
      <c r="C139" t="str">
        <v>官網</v>
      </c>
      <c r="P139">
        <f>P149+P196</f>
        <v>6</v>
      </c>
      <c r="Q139">
        <f>Q149+Q196</f>
        <v>12</v>
      </c>
      <c r="R139">
        <f>R149+R196</f>
        <v>14</v>
      </c>
      <c r="S139">
        <f>S149+S196</f>
        <v>18</v>
      </c>
      <c r="T139">
        <f>T149+T196</f>
        <v>22</v>
      </c>
      <c r="U139">
        <f>U149+U196</f>
        <v>24</v>
      </c>
      <c r="V139">
        <f>V149+V196</f>
        <v>19</v>
      </c>
      <c r="W139">
        <f>W149+W196</f>
        <v>22</v>
      </c>
      <c r="X139">
        <f>X149+X196</f>
        <v>18</v>
      </c>
      <c r="Y139">
        <f>Y149+Y196</f>
        <v>21</v>
      </c>
      <c r="Z139">
        <f>Z149+Z196</f>
        <v>24</v>
      </c>
      <c r="AA139">
        <f>AA149+AA196</f>
        <v>21</v>
      </c>
      <c r="AB139">
        <f>AB149+AB196</f>
        <v>18</v>
      </c>
      <c r="AC139">
        <f>AC149+AC196</f>
        <v>17</v>
      </c>
      <c r="AD139">
        <f>AD149+AD196</f>
        <v>20</v>
      </c>
      <c r="AE139">
        <f>AE149+AE196</f>
        <v>8</v>
      </c>
      <c r="AF139">
        <f>AF149+AF196</f>
        <v>13</v>
      </c>
      <c r="AG139">
        <f>AG149+AG196</f>
        <v>7</v>
      </c>
      <c r="AH139">
        <f>AH149+AH196</f>
        <v>11</v>
      </c>
      <c r="AI139">
        <f>AI149+AI196</f>
        <v>8</v>
      </c>
      <c r="AJ139">
        <f>AJ149+AJ196</f>
        <v>8</v>
      </c>
      <c r="AK139">
        <f>AK149+AK196</f>
        <v>6</v>
      </c>
      <c r="AL139">
        <f>AL149+AL160+AL196+AL207</f>
        <v>7</v>
      </c>
    </row>
    <row r="140">
      <c r="C140" t="str">
        <v>google sem</v>
      </c>
      <c r="P140">
        <f>P150+P197</f>
        <v>0</v>
      </c>
      <c r="Q140">
        <f>Q150+Q197</f>
        <v>0</v>
      </c>
      <c r="R140">
        <f>R150+R197</f>
        <v>1</v>
      </c>
      <c r="S140">
        <f>S150+S197</f>
        <v>5</v>
      </c>
      <c r="T140">
        <f>T150+T197</f>
        <v>4</v>
      </c>
      <c r="U140">
        <f>U150+U197</f>
        <v>9</v>
      </c>
      <c r="V140">
        <f>V150+V197</f>
        <v>9</v>
      </c>
      <c r="W140">
        <f>W150+W197</f>
        <v>10</v>
      </c>
      <c r="X140">
        <f>X150+X197</f>
        <v>6</v>
      </c>
      <c r="Y140">
        <f>Y150+Y197</f>
        <v>13</v>
      </c>
      <c r="Z140">
        <f>Z150+Z197</f>
        <v>11</v>
      </c>
      <c r="AA140">
        <f>AA150+AA197</f>
        <v>10</v>
      </c>
      <c r="AB140">
        <f>AB150+AB197</f>
        <v>6</v>
      </c>
      <c r="AC140">
        <f>AC150+AC197</f>
        <v>6</v>
      </c>
      <c r="AD140">
        <f>AD150+AD197</f>
        <v>3</v>
      </c>
      <c r="AE140">
        <f>AE150+AE197</f>
        <v>5</v>
      </c>
      <c r="AF140">
        <f>AF150+AF197</f>
        <v>5</v>
      </c>
      <c r="AG140">
        <f>AG150+AG197</f>
        <v>5</v>
      </c>
      <c r="AH140">
        <f>AH150+AH197</f>
        <v>7</v>
      </c>
      <c r="AI140">
        <f>AI150+AI197</f>
        <v>8</v>
      </c>
      <c r="AJ140">
        <f>AJ150+AJ197</f>
        <v>9</v>
      </c>
      <c r="AK140">
        <f>AK150+AK197</f>
        <v>5</v>
      </c>
      <c r="AL140">
        <f>AL150+AL161+AL197+AL208</f>
        <v>1</v>
      </c>
    </row>
    <row r="141">
      <c r="C141" t="str">
        <v>驗車</v>
      </c>
      <c r="P141">
        <f>P151+P198</f>
        <v>8</v>
      </c>
      <c r="Q141">
        <f>Q151+Q198</f>
        <v>14</v>
      </c>
      <c r="R141">
        <f>R151+R198</f>
        <v>19</v>
      </c>
      <c r="S141">
        <f>S151+S198</f>
        <v>19</v>
      </c>
      <c r="T141">
        <f>T151+T198</f>
        <v>13</v>
      </c>
      <c r="U141">
        <f>U151+U198</f>
        <v>9</v>
      </c>
      <c r="V141">
        <f>V151+V198</f>
        <v>8</v>
      </c>
      <c r="W141">
        <f>W151+W198</f>
        <v>10</v>
      </c>
      <c r="X141">
        <f>X151+X198</f>
        <v>9</v>
      </c>
      <c r="Y141">
        <f>Y151+Y198</f>
        <v>10</v>
      </c>
      <c r="Z141">
        <f>Z151+Z198</f>
        <v>9</v>
      </c>
      <c r="AA141">
        <f>AA151+AA198</f>
        <v>8</v>
      </c>
      <c r="AB141">
        <f>AB151+AB198</f>
        <v>5</v>
      </c>
      <c r="AC141">
        <f>AC151+AC198</f>
        <v>4</v>
      </c>
      <c r="AD141">
        <f>AD151+AD198</f>
        <v>5</v>
      </c>
      <c r="AE141">
        <f>AE151+AE198</f>
        <v>5</v>
      </c>
      <c r="AF141">
        <f>AF151+AF198</f>
        <v>7</v>
      </c>
      <c r="AG141">
        <f>AG151+AG198</f>
        <v>3</v>
      </c>
      <c r="AH141">
        <f>AH151+AH198</f>
        <v>2</v>
      </c>
      <c r="AI141">
        <f>AI151+AI198</f>
        <v>2</v>
      </c>
      <c r="AJ141">
        <f>AJ151+AJ198</f>
        <v>3</v>
      </c>
      <c r="AK141">
        <f>AK151+AK198</f>
        <v>3</v>
      </c>
      <c r="AL141">
        <f>AL151+AL162+AL198+AL209+AL153+AL164+AL200+AL211</f>
        <v>6</v>
      </c>
    </row>
    <row r="142">
      <c r="C142" t="str">
        <v>facebook</v>
      </c>
      <c r="P142">
        <f>P152+P199</f>
        <v>0</v>
      </c>
      <c r="Q142">
        <f>Q152+Q199</f>
        <v>0</v>
      </c>
      <c r="R142">
        <f>R152+R199</f>
        <v>0</v>
      </c>
      <c r="S142">
        <f>S152+S199</f>
        <v>0</v>
      </c>
      <c r="T142">
        <f>T152+T199</f>
        <v>0</v>
      </c>
      <c r="U142">
        <f>U152+U199</f>
        <v>0</v>
      </c>
      <c r="V142">
        <f>V152+V199</f>
        <v>0</v>
      </c>
      <c r="W142">
        <f>W152+W199</f>
        <v>0</v>
      </c>
      <c r="X142">
        <f>X152+X199</f>
        <v>0</v>
      </c>
      <c r="Y142">
        <f>Y152+Y199</f>
        <v>0</v>
      </c>
      <c r="Z142">
        <f>Z152+Z199</f>
        <v>0</v>
      </c>
      <c r="AA142">
        <f>AA152+AA199</f>
        <v>0</v>
      </c>
      <c r="AB142">
        <f>AB152+AB199</f>
        <v>0</v>
      </c>
      <c r="AC142">
        <f>AC152+AC199</f>
        <v>0</v>
      </c>
      <c r="AD142">
        <f>AD152+AD199</f>
        <v>0</v>
      </c>
      <c r="AE142">
        <f>AE152+AE199</f>
        <v>0</v>
      </c>
      <c r="AF142">
        <f>AF152+AF199</f>
        <v>0</v>
      </c>
      <c r="AG142">
        <f>AG152+AG199</f>
        <v>0</v>
      </c>
      <c r="AH142">
        <f>AH152+AH199</f>
        <v>0</v>
      </c>
      <c r="AI142">
        <f>AI152+AI199</f>
        <v>0</v>
      </c>
      <c r="AJ142">
        <f>AJ152+AJ199</f>
        <v>0</v>
      </c>
      <c r="AK142">
        <f>AK152+AK199</f>
        <v>0</v>
      </c>
      <c r="AL142">
        <f>AL152+AL163+AL199+AL210</f>
        <v>0</v>
      </c>
    </row>
    <row r="143">
      <c r="C143" t="str">
        <v>taiping online/online</v>
      </c>
      <c r="P143">
        <f>P148/P134</f>
        <v>1</v>
      </c>
      <c r="Q143">
        <f>Q148/Q134</f>
        <v>0.23076923076923078</v>
      </c>
      <c r="R143">
        <f>R148/R134</f>
        <v>0.17647058823529413</v>
      </c>
      <c r="S143">
        <f>S148/S134</f>
        <v>0.07142857142857142</v>
      </c>
      <c r="T143">
        <f>T148/T134</f>
        <v>0.3076923076923077</v>
      </c>
      <c r="U143">
        <f>U148/U134</f>
        <v>0.42857142857142855</v>
      </c>
      <c r="V143">
        <f>V148/V134</f>
        <v>0.3611111111111111</v>
      </c>
      <c r="W143">
        <f>W148/W134</f>
        <v>0.38095238095238093</v>
      </c>
      <c r="X143">
        <f>X148/X134</f>
        <v>0.36363636363636365</v>
      </c>
      <c r="Y143">
        <f>Y148/Y134</f>
        <v>0.4318181818181818</v>
      </c>
      <c r="Z143">
        <f>Z148/Z134</f>
        <v>0.36363636363636365</v>
      </c>
      <c r="AA143">
        <f>AA148/AA134</f>
        <v>0.3333333333333333</v>
      </c>
      <c r="AB143">
        <f>AB148/AB134</f>
        <v>0.3448275862068966</v>
      </c>
      <c r="AC143">
        <f>AC148/AC134</f>
        <v>0.2962962962962963</v>
      </c>
      <c r="AD143">
        <f>AD148/AD134</f>
        <v>0.32142857142857145</v>
      </c>
      <c r="AE143">
        <f>AE148/AE134</f>
        <v>0.5</v>
      </c>
      <c r="AF143">
        <f>AF148/AF134</f>
        <v>0.32</v>
      </c>
      <c r="AG143">
        <f>AG148/AG134</f>
        <v>0.4666666666666667</v>
      </c>
      <c r="AH143">
        <f>AH148/AH134</f>
        <v>0.4</v>
      </c>
      <c r="AI143">
        <f>AI148/AI134</f>
        <v>0.4444444444444444</v>
      </c>
      <c r="AJ143">
        <f>AJ148/AJ134</f>
        <v>0.5</v>
      </c>
      <c r="AK143">
        <f>AK148/AK134</f>
        <v>0.5333333333333333</v>
      </c>
      <c r="AL143">
        <f>(AL148+AL159)/AL134</f>
        <v>0.8571428571428571</v>
      </c>
    </row>
    <row r="145">
      <c r="C145" t="str">
        <v>Taiping Product%</v>
      </c>
      <c r="D145" t="str">
        <v>%</v>
      </c>
      <c r="T145">
        <f>T146/(T146+T193)</f>
        <v>0.1927710843373494</v>
      </c>
      <c r="U145">
        <f>U146/(U146+U193)</f>
        <v>0.28205128205128205</v>
      </c>
      <c r="V145">
        <f>V146/(V146+V193)</f>
        <v>0.24285714285714285</v>
      </c>
      <c r="W145">
        <f>W146/(W146+W193)</f>
        <v>0.2375</v>
      </c>
      <c r="X145">
        <f>X146/(X146+X193)</f>
        <v>0.24615384615384617</v>
      </c>
      <c r="Y145">
        <f>Y146/(Y146+Y193)</f>
        <v>0.2804878048780488</v>
      </c>
      <c r="Z145">
        <f>Z146/(Z146+Z193)</f>
        <v>0.2413793103448276</v>
      </c>
      <c r="AA145">
        <f>AA146/(AA146+AA193)</f>
        <v>0.18604651162790697</v>
      </c>
      <c r="AB145">
        <f>AB146/(AB146+AB193)</f>
        <v>0.20689655172413793</v>
      </c>
      <c r="AC145">
        <f>AC146/(AC146+AC193)</f>
        <v>0.17647058823529413</v>
      </c>
      <c r="AD145">
        <f>AD146/(AD146+AD193)</f>
        <v>0.19298245614035087</v>
      </c>
      <c r="AE145">
        <f>AE146/(AE146+AE193)</f>
        <v>0.38461538461538464</v>
      </c>
      <c r="AF145">
        <f>AF146/(AF146+AF193)</f>
        <v>0.1702127659574468</v>
      </c>
      <c r="AG145">
        <f>AG146/(AG146+AG193)</f>
        <v>0.2413793103448276</v>
      </c>
      <c r="AH145">
        <f>AH146/(AH146+AH193)</f>
        <v>0.16363636363636364</v>
      </c>
      <c r="AI145">
        <f>AI146/(AI146+AI193)</f>
        <v>0.13333333333333333</v>
      </c>
      <c r="AJ145">
        <f>AJ146/(AJ146+AJ193)</f>
        <v>0.1694915254237288</v>
      </c>
      <c r="AK145">
        <f>AK146/(AK146+AK193)</f>
        <v>0.16393442622950818</v>
      </c>
      <c r="AL145">
        <f>AL146/(AL146+AL193)</f>
        <v>0.2</v>
      </c>
    </row>
    <row r="146">
      <c r="C146" t="str">
        <v>Taiping Product - New Sales</v>
      </c>
      <c r="D146" t="str">
        <v>#</v>
      </c>
      <c r="E146">
        <v>253</v>
      </c>
      <c r="F146">
        <f>H146</f>
        <v>222</v>
      </c>
      <c r="H146">
        <f>SUM(Y146:Z146)</f>
        <v>222</v>
      </c>
      <c r="J146">
        <f>W146</f>
        <v>19</v>
      </c>
      <c r="K146">
        <f>Z146</f>
        <v>21</v>
      </c>
      <c r="M146">
        <v>23</v>
      </c>
      <c r="N146">
        <v>25</v>
      </c>
      <c r="O146">
        <v>34</v>
      </c>
      <c r="P146">
        <v>19</v>
      </c>
      <c r="Q146">
        <v>9</v>
      </c>
      <c r="R146">
        <v>9</v>
      </c>
      <c r="S146">
        <v>5</v>
      </c>
      <c r="T146">
        <v>16</v>
      </c>
      <c r="U146">
        <v>22</v>
      </c>
      <c r="V146">
        <v>17</v>
      </c>
      <c r="W146">
        <f>W148+W155</f>
        <v>19</v>
      </c>
      <c r="X146">
        <f>X148+X155</f>
        <v>16</v>
      </c>
      <c r="Y146">
        <f>Y148+Y155</f>
        <v>23</v>
      </c>
      <c r="Z146">
        <f>Z148+Z155</f>
        <v>21</v>
      </c>
      <c r="AA146">
        <f>AA148+AA155</f>
        <v>16</v>
      </c>
      <c r="AB146">
        <f>AB148+AB155</f>
        <v>12</v>
      </c>
      <c r="AC146">
        <f>AC148+AC155</f>
        <v>9</v>
      </c>
      <c r="AD146">
        <f>AD148+AD155</f>
        <v>11</v>
      </c>
      <c r="AE146">
        <f>AE148+AE155</f>
        <v>10</v>
      </c>
      <c r="AF146">
        <f>AF148+AF155</f>
        <v>8</v>
      </c>
      <c r="AG146">
        <f>AG148+AG155</f>
        <v>7</v>
      </c>
      <c r="AH146">
        <f>AH148+AH155</f>
        <v>9</v>
      </c>
      <c r="AI146">
        <f>AI148+AI155</f>
        <v>8</v>
      </c>
      <c r="AJ146">
        <f>AJ148+AJ155</f>
        <v>10</v>
      </c>
      <c r="AK146">
        <f>AK147+AK158</f>
        <v>10</v>
      </c>
      <c r="AL146">
        <f>AL147+AL158</f>
        <v>12</v>
      </c>
      <c r="AM146">
        <f>AM147+AM158</f>
        <v>23</v>
      </c>
      <c r="AN146">
        <f>AN147+AN158</f>
        <v>25</v>
      </c>
      <c r="AO146">
        <f>AO147+AO158</f>
        <v>32</v>
      </c>
      <c r="AP146">
        <f>AP147+AP158</f>
        <v>31</v>
      </c>
      <c r="AQ146">
        <f>AQ147+AQ158</f>
        <v>33</v>
      </c>
      <c r="AR146">
        <f>AR147+AR158</f>
        <v>0</v>
      </c>
      <c r="AS146">
        <f>AS147+AS158</f>
        <v>0</v>
      </c>
      <c r="AT146">
        <f>AT147+AT158</f>
        <v>0</v>
      </c>
      <c r="AU146">
        <f>AU147+AU158</f>
        <v>0</v>
      </c>
      <c r="AV146">
        <f>AV147+AV158</f>
        <v>0</v>
      </c>
    </row>
    <row r="147">
      <c r="C147" t="str">
        <v>一站式产品</v>
      </c>
      <c r="M147">
        <f>M148+M155</f>
        <v>23</v>
      </c>
      <c r="N147">
        <f>N148+N155</f>
        <v>25</v>
      </c>
      <c r="O147">
        <f>O148+O155</f>
        <v>34</v>
      </c>
      <c r="P147">
        <f>P148+P155</f>
        <v>20</v>
      </c>
      <c r="Q147">
        <f>Q148+Q155</f>
        <v>9</v>
      </c>
      <c r="R147">
        <f>R148+R155</f>
        <v>9</v>
      </c>
      <c r="S147">
        <f>S148+S155</f>
        <v>6</v>
      </c>
      <c r="T147">
        <f>T148+T155</f>
        <v>16</v>
      </c>
      <c r="U147">
        <f>U148+U155</f>
        <v>22</v>
      </c>
      <c r="V147">
        <f>V148+V155</f>
        <v>17</v>
      </c>
      <c r="W147">
        <f>W148+W155</f>
        <v>19</v>
      </c>
      <c r="X147">
        <f>X148+X155</f>
        <v>16</v>
      </c>
      <c r="Y147">
        <f>Y148+Y155</f>
        <v>23</v>
      </c>
      <c r="Z147">
        <f>Z148+Z155</f>
        <v>21</v>
      </c>
      <c r="AA147">
        <f>AA148+AA155</f>
        <v>16</v>
      </c>
      <c r="AB147">
        <f>AB148+AB155</f>
        <v>12</v>
      </c>
      <c r="AC147">
        <f>AC148+AC155</f>
        <v>9</v>
      </c>
      <c r="AD147">
        <f>AD148+AD155</f>
        <v>11</v>
      </c>
      <c r="AE147">
        <f>AE148+AE155</f>
        <v>10</v>
      </c>
      <c r="AF147">
        <f>AF148+AF155</f>
        <v>8</v>
      </c>
      <c r="AG147">
        <f>AG148+AG155</f>
        <v>7</v>
      </c>
      <c r="AH147">
        <f>AH148+AH155</f>
        <v>9</v>
      </c>
      <c r="AI147">
        <f>AI148+AI155</f>
        <v>8</v>
      </c>
      <c r="AJ147">
        <f>AJ148+AJ155</f>
        <v>10</v>
      </c>
      <c r="AK147">
        <f>AK148+AK155</f>
        <v>9</v>
      </c>
      <c r="AL147">
        <f>AL148+AL155</f>
        <v>0</v>
      </c>
      <c r="AM147">
        <f>AM148+AM155</f>
        <v>0</v>
      </c>
      <c r="AN147">
        <f>AN148+AN155</f>
        <v>0</v>
      </c>
      <c r="AO147">
        <f>AO148+AO155</f>
        <v>0</v>
      </c>
      <c r="AP147">
        <f>AP148+AP155</f>
        <v>0</v>
      </c>
      <c r="AQ147">
        <f>AQ148+AQ155</f>
        <v>0</v>
      </c>
      <c r="AR147">
        <f>AR148+AR155</f>
        <v>0</v>
      </c>
      <c r="AS147">
        <f>AS148+AS155</f>
        <v>0</v>
      </c>
      <c r="AT147">
        <f>AT148+AT155</f>
        <v>0</v>
      </c>
      <c r="AU147">
        <f>AU148+AU155</f>
        <v>0</v>
      </c>
    </row>
    <row r="148">
      <c r="C148" t="str">
        <v xml:space="preserve"> - Online channel</v>
      </c>
      <c r="D148" t="str">
        <v>#</v>
      </c>
      <c r="F148">
        <f>H148</f>
        <v>424</v>
      </c>
      <c r="H148">
        <f>SUM(Y148:AE148)</f>
        <v>424</v>
      </c>
      <c r="J148">
        <f>W148</f>
        <v>16</v>
      </c>
      <c r="K148">
        <f>Z148</f>
        <v>16</v>
      </c>
      <c r="M148">
        <v>23</v>
      </c>
      <c r="N148">
        <v>25</v>
      </c>
      <c r="O148">
        <v>28</v>
      </c>
      <c r="P148">
        <f>SUM(P149:P152)</f>
        <v>14</v>
      </c>
      <c r="Q148">
        <f>SUM(Q149:Q152)</f>
        <v>6</v>
      </c>
      <c r="R148">
        <f>SUM(R149:R152)</f>
        <v>6</v>
      </c>
      <c r="S148">
        <f>SUM(S149:S152)</f>
        <v>3</v>
      </c>
      <c r="T148">
        <f>SUM(T149:T152)</f>
        <v>12</v>
      </c>
      <c r="U148">
        <f>SUM(U149:U152)</f>
        <v>18</v>
      </c>
      <c r="V148">
        <f>SUM(V149:V152)</f>
        <v>13</v>
      </c>
      <c r="W148">
        <f>SUM(W149:W152)</f>
        <v>16</v>
      </c>
      <c r="X148">
        <f>SUM(X149:X152)</f>
        <v>12</v>
      </c>
      <c r="Y148">
        <f>SUM(Y149:Y152)</f>
        <v>19</v>
      </c>
      <c r="Z148">
        <f>SUM(Z149:Z152)</f>
        <v>16</v>
      </c>
      <c r="AA148">
        <f>SUM(AA149:AA152)</f>
        <v>13</v>
      </c>
      <c r="AB148">
        <f>SUM(AB149:AB152)</f>
        <v>10</v>
      </c>
      <c r="AC148">
        <f>SUM(AC149:AC152)</f>
        <v>8</v>
      </c>
      <c r="AD148">
        <f>SUM(AD149:AD152)</f>
        <v>9</v>
      </c>
      <c r="AE148">
        <f>SUM(AE149:AE152)</f>
        <v>9</v>
      </c>
      <c r="AF148">
        <f>SUM(AF149:AF152)</f>
        <v>8</v>
      </c>
      <c r="AG148">
        <f>SUM(AG149:AG152)</f>
        <v>7</v>
      </c>
      <c r="AH148">
        <f>SUM(AH149:AH152)</f>
        <v>8</v>
      </c>
      <c r="AI148">
        <f>SUM(AI149:AI152)</f>
        <v>8</v>
      </c>
      <c r="AJ148">
        <f>SUM(AJ149:AJ152)</f>
        <v>10</v>
      </c>
      <c r="AK148">
        <f>SUM(AK149:AK154)</f>
        <v>8</v>
      </c>
      <c r="AL148">
        <f>SUM(AL149:AL154)</f>
        <v>0</v>
      </c>
      <c r="AM148">
        <f>SUM(AM149:AM154)</f>
        <v>0</v>
      </c>
      <c r="AN148">
        <f>SUM(AN149:AN154)</f>
        <v>0</v>
      </c>
      <c r="AO148">
        <f>SUM(AO149:AO154)</f>
        <v>0</v>
      </c>
      <c r="AP148">
        <f>SUM(AP149:AP154)</f>
        <v>0</v>
      </c>
      <c r="AQ148">
        <f>SUM(AQ149:AQ154)</f>
        <v>0</v>
      </c>
      <c r="AR148">
        <f>SUM(AR149:AR154)</f>
        <v>0</v>
      </c>
      <c r="AS148">
        <f>SUM(AS149:AS154)</f>
        <v>0</v>
      </c>
      <c r="AT148">
        <f>SUM(AT149:AT154)</f>
        <v>0</v>
      </c>
      <c r="AU148">
        <f>SUM(AU149:AU154)</f>
        <v>0</v>
      </c>
      <c r="AV148">
        <f>SUM(AV149:AV154)</f>
        <v>0</v>
      </c>
    </row>
    <row r="149">
      <c r="C149" t="str">
        <v>官网</v>
      </c>
      <c r="D149" t="str">
        <v>#</v>
      </c>
      <c r="P149">
        <v>6</v>
      </c>
      <c r="Q149">
        <v>2</v>
      </c>
      <c r="R149">
        <v>2</v>
      </c>
      <c r="S149">
        <v>0</v>
      </c>
      <c r="T149">
        <v>4</v>
      </c>
      <c r="U149">
        <v>8</v>
      </c>
      <c r="V149">
        <v>4</v>
      </c>
      <c r="W149">
        <v>7</v>
      </c>
      <c r="X149">
        <v>4</v>
      </c>
      <c r="Y149">
        <v>6</v>
      </c>
      <c r="Z149">
        <v>7</v>
      </c>
      <c r="AA149">
        <v>4</v>
      </c>
      <c r="AB149">
        <v>5</v>
      </c>
      <c r="AC149">
        <v>3</v>
      </c>
      <c r="AD149">
        <v>4</v>
      </c>
      <c r="AE149">
        <v>3</v>
      </c>
      <c r="AF149">
        <v>1</v>
      </c>
      <c r="AG149">
        <v>2</v>
      </c>
      <c r="AH149">
        <v>3</v>
      </c>
      <c r="AI149">
        <v>2</v>
      </c>
      <c r="AJ149">
        <v>3</v>
      </c>
      <c r="AK149">
        <v>3</v>
      </c>
    </row>
    <row r="150">
      <c r="C150" t="str">
        <v>谷歌SEM</v>
      </c>
      <c r="D150" t="str">
        <v>#</v>
      </c>
      <c r="T150">
        <v>2</v>
      </c>
      <c r="U150">
        <v>5</v>
      </c>
      <c r="V150">
        <v>5</v>
      </c>
      <c r="W150">
        <v>5</v>
      </c>
      <c r="X150">
        <v>4</v>
      </c>
      <c r="Y150">
        <v>7</v>
      </c>
      <c r="Z150">
        <v>5</v>
      </c>
      <c r="AA150">
        <v>5</v>
      </c>
      <c r="AB150">
        <v>3</v>
      </c>
      <c r="AC150">
        <v>2</v>
      </c>
      <c r="AD150">
        <v>2</v>
      </c>
      <c r="AE150">
        <v>3</v>
      </c>
      <c r="AF150">
        <v>2</v>
      </c>
      <c r="AG150">
        <v>3</v>
      </c>
      <c r="AH150">
        <v>4</v>
      </c>
      <c r="AI150">
        <v>5</v>
      </c>
      <c r="AJ150">
        <v>5</v>
      </c>
      <c r="AK150">
        <v>3</v>
      </c>
    </row>
    <row r="151">
      <c r="C151" t="str">
        <v>验车网站</v>
      </c>
      <c r="D151" t="str">
        <v>#</v>
      </c>
      <c r="P151">
        <v>8</v>
      </c>
      <c r="Q151">
        <v>4</v>
      </c>
      <c r="R151">
        <v>4</v>
      </c>
      <c r="S151">
        <v>3</v>
      </c>
      <c r="T151">
        <v>6</v>
      </c>
      <c r="U151">
        <v>5</v>
      </c>
      <c r="V151">
        <v>4</v>
      </c>
      <c r="W151">
        <v>4</v>
      </c>
      <c r="X151">
        <v>4</v>
      </c>
      <c r="Y151">
        <v>6</v>
      </c>
      <c r="Z151">
        <v>4</v>
      </c>
      <c r="AA151">
        <v>4</v>
      </c>
      <c r="AB151">
        <v>2</v>
      </c>
      <c r="AC151">
        <v>3</v>
      </c>
      <c r="AD151">
        <v>3</v>
      </c>
      <c r="AE151">
        <v>3</v>
      </c>
      <c r="AF151">
        <v>5</v>
      </c>
      <c r="AG151">
        <v>2</v>
      </c>
      <c r="AH151">
        <v>1</v>
      </c>
      <c r="AI151">
        <v>1</v>
      </c>
      <c r="AJ151">
        <v>2</v>
      </c>
      <c r="AK151">
        <v>2</v>
      </c>
    </row>
    <row r="152">
      <c r="C152" t="str">
        <v>Facebook</v>
      </c>
      <c r="D152" t="str">
        <v>#</v>
      </c>
      <c r="AE152">
        <v>0</v>
      </c>
      <c r="AF152">
        <v>0</v>
      </c>
      <c r="AG152">
        <v>0</v>
      </c>
      <c r="AH152">
        <v>0</v>
      </c>
      <c r="AK152">
        <v>0</v>
      </c>
    </row>
    <row r="153">
      <c r="C153" t="str">
        <v>新田（25年11月及之后，如有）</v>
      </c>
      <c r="D153" t="str">
        <v>#</v>
      </c>
    </row>
    <row r="154">
      <c r="C154" t="str">
        <v>电邮</v>
      </c>
    </row>
    <row r="155">
      <c r="C155" t="str">
        <v xml:space="preserve"> - CTG channel</v>
      </c>
      <c r="D155" t="str">
        <v>#</v>
      </c>
      <c r="F155">
        <f>H155</f>
        <v>87</v>
      </c>
      <c r="H155">
        <f>SUM(Y155:AE155)</f>
        <v>87</v>
      </c>
      <c r="J155">
        <f>W155</f>
        <v>3</v>
      </c>
      <c r="K155">
        <f>Z155</f>
        <v>5</v>
      </c>
      <c r="O155">
        <v>6</v>
      </c>
      <c r="P155">
        <f>SUM(P156:P157)</f>
        <v>6</v>
      </c>
      <c r="Q155">
        <f>SUM(Q156:Q157)</f>
        <v>3</v>
      </c>
      <c r="R155">
        <f>SUM(R156:R157)</f>
        <v>3</v>
      </c>
      <c r="S155">
        <f>SUM(S156:S157)</f>
        <v>3</v>
      </c>
      <c r="T155">
        <f>SUM(T156:T157)</f>
        <v>4</v>
      </c>
      <c r="U155">
        <f>SUM(U156:U157)</f>
        <v>4</v>
      </c>
      <c r="V155">
        <f>SUM(V156:V157)</f>
        <v>4</v>
      </c>
      <c r="W155">
        <f>SUM(W156:W157)</f>
        <v>3</v>
      </c>
      <c r="X155">
        <f>SUM(X156:X157)</f>
        <v>4</v>
      </c>
      <c r="Y155">
        <f>SUM(Y156:Y157)</f>
        <v>4</v>
      </c>
      <c r="Z155">
        <f>SUM(Z156:Z157)</f>
        <v>5</v>
      </c>
      <c r="AA155">
        <f>SUM(AA156:AA157)</f>
        <v>3</v>
      </c>
      <c r="AB155">
        <f>SUM(AB156:AB157)</f>
        <v>2</v>
      </c>
      <c r="AC155">
        <f>SUM(AC156:AC157)</f>
        <v>1</v>
      </c>
      <c r="AD155">
        <f>SUM(AD156:AD157)</f>
        <v>2</v>
      </c>
      <c r="AE155">
        <f>SUM(AE156:AE157)</f>
        <v>1</v>
      </c>
      <c r="AF155">
        <f>SUM(AF156:AF157)</f>
        <v>0</v>
      </c>
      <c r="AG155">
        <f>SUM(AG156:AG157)</f>
        <v>0</v>
      </c>
      <c r="AH155">
        <f>SUM(AH156:AH157)</f>
        <v>1</v>
      </c>
      <c r="AI155">
        <f>SUM(AI156:AI157)</f>
        <v>0</v>
      </c>
      <c r="AJ155">
        <f>SUM(AJ156:AJ157)</f>
        <v>0</v>
      </c>
      <c r="AK155">
        <f>SUM(AK156:AK157)</f>
        <v>1</v>
      </c>
      <c r="AL155">
        <f>SUM(AL156:AL157)</f>
        <v>0</v>
      </c>
      <c r="AM155">
        <f>SUM(AM156:AM157)</f>
        <v>0</v>
      </c>
      <c r="AN155">
        <f>SUM(AN156:AN157)</f>
        <v>0</v>
      </c>
      <c r="AO155">
        <f>SUM(AO156:AO157)</f>
        <v>0</v>
      </c>
      <c r="AP155">
        <f>SUM(AP156:AP157)</f>
        <v>0</v>
      </c>
      <c r="AQ155">
        <f>SUM(AQ156:AQ157)</f>
        <v>0</v>
      </c>
      <c r="AR155">
        <f>SUM(AR156:AR157)</f>
        <v>0</v>
      </c>
      <c r="AS155">
        <f>SUM(AS156:AS157)</f>
        <v>0</v>
      </c>
      <c r="AT155">
        <f>SUM(AT156:AT157)</f>
        <v>0</v>
      </c>
      <c r="AU155">
        <f>SUM(AU156:AU157)</f>
        <v>0</v>
      </c>
    </row>
    <row r="156">
      <c r="C156" t="str">
        <v>天水围</v>
      </c>
      <c r="D156" t="str">
        <v>#</v>
      </c>
      <c r="P156">
        <v>4</v>
      </c>
      <c r="Q156">
        <v>1</v>
      </c>
      <c r="R156">
        <v>1</v>
      </c>
      <c r="S156">
        <v>2</v>
      </c>
      <c r="T156">
        <v>1</v>
      </c>
      <c r="U156">
        <v>1</v>
      </c>
      <c r="V156">
        <v>1</v>
      </c>
      <c r="W156">
        <v>1</v>
      </c>
      <c r="X156">
        <v>2</v>
      </c>
      <c r="Y156">
        <v>1</v>
      </c>
      <c r="Z156">
        <v>1</v>
      </c>
      <c r="AA156">
        <v>1</v>
      </c>
      <c r="AB156">
        <v>2</v>
      </c>
      <c r="AC156">
        <v>1</v>
      </c>
      <c r="AD156">
        <v>2</v>
      </c>
      <c r="AE156">
        <v>1</v>
      </c>
      <c r="AF156">
        <v>0</v>
      </c>
      <c r="AG156">
        <v>0</v>
      </c>
      <c r="AH156">
        <v>1</v>
      </c>
      <c r="AI156">
        <v>0</v>
      </c>
      <c r="AJ156">
        <v>0</v>
      </c>
      <c r="AK156">
        <v>1</v>
      </c>
    </row>
    <row r="157">
      <c r="C157" t="str">
        <v>新田（25年10月及之前）</v>
      </c>
      <c r="D157" t="str">
        <v>#</v>
      </c>
      <c r="P157">
        <v>2</v>
      </c>
      <c r="Q157">
        <v>2</v>
      </c>
      <c r="R157">
        <v>2</v>
      </c>
      <c r="S157">
        <v>1</v>
      </c>
      <c r="T157">
        <v>3</v>
      </c>
      <c r="U157">
        <v>3</v>
      </c>
      <c r="V157">
        <v>3</v>
      </c>
      <c r="W157">
        <v>2</v>
      </c>
      <c r="X157">
        <v>2</v>
      </c>
      <c r="Y157">
        <v>3</v>
      </c>
      <c r="Z157">
        <v>4</v>
      </c>
      <c r="AA157">
        <v>2</v>
      </c>
      <c r="AG157">
        <v>0</v>
      </c>
    </row>
    <row r="158">
      <c r="C158" t="str">
        <v>等效先认产品</v>
      </c>
      <c r="AK158">
        <f>AK159+AK166</f>
        <v>1</v>
      </c>
      <c r="AL158">
        <f>AL159+AL166</f>
        <v>12</v>
      </c>
      <c r="AM158">
        <f>AM159+AM166</f>
        <v>23</v>
      </c>
      <c r="AN158">
        <f>AN159+AN166</f>
        <v>25</v>
      </c>
      <c r="AO158">
        <f>AO159+AO166</f>
        <v>32</v>
      </c>
      <c r="AP158">
        <f>AP159+AP166</f>
        <v>31</v>
      </c>
      <c r="AQ158">
        <f>AQ159+AQ166</f>
        <v>33</v>
      </c>
      <c r="AR158">
        <f>AR159+AR166</f>
        <v>0</v>
      </c>
      <c r="AS158">
        <f>AS159+AS166</f>
        <v>0</v>
      </c>
      <c r="AT158">
        <f>AT159+AT166</f>
        <v>0</v>
      </c>
      <c r="AU158">
        <f>AU159+AU166</f>
        <v>0</v>
      </c>
      <c r="AV158">
        <f>AV159+AV166</f>
        <v>0</v>
      </c>
    </row>
    <row r="159">
      <c r="B159" t="str">
        <v>Webpage, organic, SEM</v>
      </c>
      <c r="C159" t="str">
        <v xml:space="preserve"> - Online channel</v>
      </c>
      <c r="D159" t="str">
        <v>#</v>
      </c>
      <c r="AK159">
        <f>SUM(AK160:AK165)</f>
        <v>1</v>
      </c>
      <c r="AL159">
        <f>SUM(AL160:AL165)</f>
        <v>12</v>
      </c>
      <c r="AM159">
        <f>SUM(AM160:AM165)</f>
        <v>22</v>
      </c>
      <c r="AN159">
        <f>SUM(AN160:AN165)</f>
        <v>25</v>
      </c>
      <c r="AO159">
        <f>SUM(AO160:AO165)</f>
        <v>32</v>
      </c>
      <c r="AP159">
        <f>SUM(AP160:AP165)</f>
        <v>30</v>
      </c>
      <c r="AQ159">
        <f>SUM(AQ160:AQ165)</f>
        <v>33</v>
      </c>
      <c r="AR159">
        <f>SUM(AR160:AR165)</f>
        <v>0</v>
      </c>
      <c r="AS159">
        <f>SUM(AS160:AS165)</f>
        <v>0</v>
      </c>
      <c r="AT159">
        <f>SUM(AT160:AT165)</f>
        <v>0</v>
      </c>
      <c r="AU159">
        <f>SUM(AU160:AU165)</f>
        <v>0</v>
      </c>
    </row>
    <row r="160">
      <c r="C160" t="str">
        <v>官网</v>
      </c>
      <c r="D160" t="str">
        <v>#</v>
      </c>
      <c r="AK160">
        <v>1</v>
      </c>
      <c r="AL160">
        <v>5</v>
      </c>
      <c r="AM160">
        <v>6</v>
      </c>
      <c r="AN160">
        <v>2</v>
      </c>
      <c r="AO160">
        <v>6</v>
      </c>
      <c r="AP160">
        <v>5</v>
      </c>
      <c r="AQ160">
        <v>4</v>
      </c>
    </row>
    <row r="161">
      <c r="C161" t="str">
        <v>谷歌SEM</v>
      </c>
      <c r="D161" t="str">
        <v>#</v>
      </c>
      <c r="AL161">
        <v>1</v>
      </c>
      <c r="AM161">
        <v>13</v>
      </c>
      <c r="AN161">
        <v>16</v>
      </c>
      <c r="AO161">
        <v>13</v>
      </c>
      <c r="AP161">
        <v>10</v>
      </c>
      <c r="AQ161">
        <v>16</v>
      </c>
    </row>
    <row r="162">
      <c r="C162" t="str">
        <v>验车网站</v>
      </c>
      <c r="D162" t="str">
        <v>#</v>
      </c>
      <c r="AL162">
        <v>6</v>
      </c>
      <c r="AM162">
        <v>2</v>
      </c>
      <c r="AN162">
        <v>5</v>
      </c>
      <c r="AO162">
        <v>12</v>
      </c>
      <c r="AP162">
        <v>13</v>
      </c>
      <c r="AQ162">
        <v>11</v>
      </c>
    </row>
    <row r="163">
      <c r="C163" t="str">
        <v>Facebook</v>
      </c>
      <c r="D163" t="str">
        <v>#</v>
      </c>
      <c r="AL163">
        <v>0</v>
      </c>
      <c r="AM163">
        <v>1</v>
      </c>
      <c r="AN163">
        <v>1</v>
      </c>
      <c r="AO163">
        <v>1</v>
      </c>
      <c r="AP163">
        <v>1</v>
      </c>
      <c r="AQ163">
        <v>1</v>
      </c>
    </row>
    <row r="164">
      <c r="C164" t="str">
        <v>新田（25年11月及之后，如有）</v>
      </c>
      <c r="D164" t="str">
        <v>#</v>
      </c>
      <c r="AL164">
        <v>0</v>
      </c>
    </row>
    <row r="165">
      <c r="C165" t="str">
        <v>电邮</v>
      </c>
      <c r="AN165">
        <v>1</v>
      </c>
      <c r="AO165">
        <v>0</v>
      </c>
      <c r="AP165">
        <v>1</v>
      </c>
      <c r="AQ165">
        <v>1</v>
      </c>
    </row>
    <row r="166">
      <c r="B166" t="str">
        <v>QR code+redirect</v>
      </c>
      <c r="C166" t="str">
        <v xml:space="preserve"> - CTG channel</v>
      </c>
      <c r="D166" t="str">
        <v>#</v>
      </c>
      <c r="AK166">
        <f>SUM(AK167:AK168)</f>
        <v>0</v>
      </c>
      <c r="AL166">
        <f>SUM(AL167:AL168)</f>
        <v>0</v>
      </c>
      <c r="AM166">
        <f>SUM(AM167:AM168)</f>
        <v>1</v>
      </c>
      <c r="AN166">
        <f>SUM(AN167:AN168)</f>
        <v>0</v>
      </c>
      <c r="AO166">
        <f>SUM(AO167:AO168)</f>
        <v>0</v>
      </c>
      <c r="AP166">
        <f>SUM(AP167:AP168)</f>
        <v>1</v>
      </c>
      <c r="AQ166">
        <f>SUM(AQ167:AQ168)</f>
        <v>0</v>
      </c>
      <c r="AR166">
        <f>SUM(AR167:AR168)</f>
        <v>0</v>
      </c>
      <c r="AS166">
        <f>SUM(AS167:AS168)</f>
        <v>0</v>
      </c>
      <c r="AT166">
        <f>SUM(AT167:AT168)</f>
        <v>0</v>
      </c>
      <c r="AU166">
        <f>SUM(AU167:AU168)</f>
        <v>0</v>
      </c>
    </row>
    <row r="167">
      <c r="C167" t="str">
        <v>天水围</v>
      </c>
      <c r="D167" t="str">
        <v>#</v>
      </c>
      <c r="AL167">
        <v>0</v>
      </c>
      <c r="AM167">
        <v>1</v>
      </c>
      <c r="AN167">
        <v>0</v>
      </c>
      <c r="AO167">
        <v>0</v>
      </c>
      <c r="AP167">
        <v>1</v>
      </c>
      <c r="AQ167">
        <v>0</v>
      </c>
    </row>
    <row r="168">
      <c r="C168" t="str">
        <v>新田（25年10月及之前）</v>
      </c>
      <c r="D168" t="str">
        <v>#</v>
      </c>
    </row>
    <row r="169">
      <c r="C169" t="str">
        <v>Taiping Product - RN</v>
      </c>
      <c r="D169" t="str">
        <v>#</v>
      </c>
      <c r="E169">
        <v>253</v>
      </c>
      <c r="F169">
        <f>H169</f>
        <v>108</v>
      </c>
      <c r="H169">
        <f>SUM(Y169:Z169)</f>
        <v>108</v>
      </c>
      <c r="J169">
        <f>W169</f>
        <v>3</v>
      </c>
      <c r="K169">
        <f>Z169</f>
        <v>10</v>
      </c>
      <c r="M169">
        <v>23</v>
      </c>
      <c r="N169">
        <v>25</v>
      </c>
      <c r="O169">
        <v>34</v>
      </c>
      <c r="P169">
        <v>19</v>
      </c>
      <c r="Q169">
        <v>9</v>
      </c>
      <c r="R169">
        <v>9</v>
      </c>
      <c r="S169">
        <v>5</v>
      </c>
      <c r="T169">
        <v>16</v>
      </c>
      <c r="U169">
        <v>22</v>
      </c>
      <c r="V169">
        <f>V171+V178</f>
        <v>7</v>
      </c>
      <c r="W169">
        <f>W171+W178</f>
        <v>3</v>
      </c>
      <c r="X169">
        <f>X171+X178</f>
        <v>12</v>
      </c>
      <c r="Y169">
        <f>Y171+Y178</f>
        <v>12</v>
      </c>
      <c r="Z169">
        <f>Z171+Z178</f>
        <v>10</v>
      </c>
      <c r="AA169">
        <f>AA171+AA178</f>
        <v>7</v>
      </c>
      <c r="AB169">
        <f>AB171+AB178</f>
        <v>3</v>
      </c>
      <c r="AC169">
        <f>AC171+AC178</f>
        <v>2</v>
      </c>
      <c r="AD169">
        <f>AD171+AD178</f>
        <v>2</v>
      </c>
      <c r="AE169">
        <f>AE171+AE178</f>
        <v>8</v>
      </c>
      <c r="AF169">
        <f>AF171+AF178</f>
        <v>11</v>
      </c>
      <c r="AG169">
        <f>AG171+AG178</f>
        <v>5</v>
      </c>
      <c r="AH169">
        <f>AH171+AH178</f>
        <v>7</v>
      </c>
      <c r="AI169">
        <f>AI171+AI178</f>
        <v>13</v>
      </c>
      <c r="AJ169">
        <f>AJ171+AJ178</f>
        <v>18</v>
      </c>
      <c r="AK169">
        <f>AK170+AK181</f>
        <v>17</v>
      </c>
      <c r="AL169">
        <f>AL170+AL181</f>
        <v>8</v>
      </c>
      <c r="AM169">
        <f>AM170+AM181</f>
        <v>10</v>
      </c>
      <c r="AN169">
        <f>AN170+AN181</f>
        <v>7</v>
      </c>
      <c r="AO169">
        <f>AO170+AO181</f>
        <v>7</v>
      </c>
      <c r="AP169">
        <f>AP170+AP181</f>
        <v>9</v>
      </c>
      <c r="AQ169">
        <f>AQ170+AQ181</f>
        <v>7</v>
      </c>
      <c r="AR169">
        <f>AR170+AR181</f>
        <v>0</v>
      </c>
      <c r="AS169">
        <f>AS170+AS181</f>
        <v>0</v>
      </c>
      <c r="AT169">
        <f>AT170+AT181</f>
        <v>0</v>
      </c>
      <c r="AU169">
        <f>AU170+AU181</f>
        <v>0</v>
      </c>
      <c r="AV169">
        <f>AV170+AV181</f>
        <v>0</v>
      </c>
    </row>
    <row r="170">
      <c r="C170" t="str">
        <v>一站式产品</v>
      </c>
      <c r="M170">
        <f>M171+M178</f>
        <v>23</v>
      </c>
      <c r="N170">
        <f>N171+N178</f>
        <v>25</v>
      </c>
      <c r="O170">
        <f>O171+O178</f>
        <v>34</v>
      </c>
      <c r="P170">
        <f>P171+P178</f>
        <v>0</v>
      </c>
      <c r="Q170">
        <f>Q171+Q178</f>
        <v>0</v>
      </c>
      <c r="R170">
        <f>R171+R178</f>
        <v>0</v>
      </c>
      <c r="S170">
        <f>S171+S178</f>
        <v>0</v>
      </c>
      <c r="T170">
        <f>T171+T178</f>
        <v>0</v>
      </c>
      <c r="U170">
        <f>U171+U178</f>
        <v>0</v>
      </c>
      <c r="V170">
        <f>V171+V178</f>
        <v>7</v>
      </c>
      <c r="W170">
        <f>W171+W178</f>
        <v>3</v>
      </c>
      <c r="X170">
        <f>X171+X178</f>
        <v>12</v>
      </c>
      <c r="Y170">
        <f>Y171+Y178</f>
        <v>12</v>
      </c>
      <c r="Z170">
        <f>Z171+Z178</f>
        <v>10</v>
      </c>
      <c r="AA170">
        <f>AA171+AA178</f>
        <v>7</v>
      </c>
      <c r="AB170">
        <f>AB171+AB178</f>
        <v>3</v>
      </c>
      <c r="AC170">
        <f>AC171+AC178</f>
        <v>2</v>
      </c>
      <c r="AD170">
        <f>AD171+AD178</f>
        <v>2</v>
      </c>
      <c r="AE170">
        <f>AE171+AE178</f>
        <v>8</v>
      </c>
      <c r="AF170">
        <f>AF171+AF178</f>
        <v>11</v>
      </c>
      <c r="AG170">
        <f>AG171+AG178</f>
        <v>5</v>
      </c>
      <c r="AH170">
        <f>AH171+AH178</f>
        <v>7</v>
      </c>
      <c r="AI170">
        <f>AI171+AI178</f>
        <v>13</v>
      </c>
      <c r="AJ170">
        <f>AJ171+AJ178</f>
        <v>18</v>
      </c>
      <c r="AK170">
        <f>AK171+AK178</f>
        <v>17</v>
      </c>
      <c r="AL170">
        <f>AL171+AL178</f>
        <v>8</v>
      </c>
      <c r="AM170">
        <f>AM171+AM178</f>
        <v>10</v>
      </c>
      <c r="AN170">
        <f>AN171+AN178</f>
        <v>7</v>
      </c>
      <c r="AO170">
        <f>AO171+AO178</f>
        <v>7</v>
      </c>
      <c r="AP170">
        <f>AP171+AP178</f>
        <v>9</v>
      </c>
      <c r="AQ170">
        <f>AQ171+AQ178</f>
        <v>7</v>
      </c>
      <c r="AR170">
        <f>AR171+AR178</f>
        <v>0</v>
      </c>
      <c r="AS170">
        <f>AS171+AS178</f>
        <v>0</v>
      </c>
      <c r="AT170">
        <f>AT171+AT178</f>
        <v>0</v>
      </c>
      <c r="AU170">
        <f>AU171+AU178</f>
        <v>0</v>
      </c>
    </row>
    <row r="171">
      <c r="C171" t="str">
        <v xml:space="preserve"> - Online channel</v>
      </c>
      <c r="D171" t="str">
        <v>#</v>
      </c>
      <c r="F171">
        <f>H171</f>
        <v>189</v>
      </c>
      <c r="H171">
        <f>SUM(Y171:AE171)</f>
        <v>189</v>
      </c>
      <c r="J171">
        <f>W171</f>
        <v>3</v>
      </c>
      <c r="K171">
        <f>Z171</f>
        <v>8</v>
      </c>
      <c r="M171">
        <v>23</v>
      </c>
      <c r="N171">
        <v>25</v>
      </c>
      <c r="O171">
        <v>28</v>
      </c>
      <c r="P171">
        <f>SUM(P172:P175)</f>
        <v>0</v>
      </c>
      <c r="Q171">
        <f>SUM(Q172:Q175)</f>
        <v>0</v>
      </c>
      <c r="R171">
        <f>SUM(R172:R175)</f>
        <v>0</v>
      </c>
      <c r="S171">
        <f>SUM(S172:S175)</f>
        <v>0</v>
      </c>
      <c r="T171">
        <f>SUM(T172:T175)</f>
        <v>0</v>
      </c>
      <c r="U171">
        <f>SUM(U172:U175)</f>
        <v>0</v>
      </c>
      <c r="V171">
        <f>SUM(V172:V177)</f>
        <v>6</v>
      </c>
      <c r="W171">
        <f>SUM(W172:W177)</f>
        <v>3</v>
      </c>
      <c r="X171">
        <f>SUM(X172:X177)</f>
        <v>10</v>
      </c>
      <c r="Y171">
        <f>SUM(Y172:Y177)</f>
        <v>10</v>
      </c>
      <c r="Z171">
        <f>SUM(Z172:Z177)</f>
        <v>8</v>
      </c>
      <c r="AA171">
        <f>SUM(AA172:AA177)</f>
        <v>6</v>
      </c>
      <c r="AB171">
        <f>SUM(AB172:AB177)</f>
        <v>3</v>
      </c>
      <c r="AC171">
        <f>SUM(AC172:AC177)</f>
        <v>2</v>
      </c>
      <c r="AD171">
        <f>SUM(AD172:AD177)</f>
        <v>2</v>
      </c>
      <c r="AE171">
        <f>SUM(AE172:AE177)</f>
        <v>6</v>
      </c>
      <c r="AF171">
        <f>SUM(AF172:AF177)</f>
        <v>9</v>
      </c>
      <c r="AG171">
        <f>SUM(AG172:AG177)</f>
        <v>5</v>
      </c>
      <c r="AH171">
        <f>SUM(AH172:AH177)</f>
        <v>6</v>
      </c>
      <c r="AI171">
        <f>SUM(AI172:AI177)</f>
        <v>12</v>
      </c>
      <c r="AJ171">
        <f>SUM(AJ172:AJ177)</f>
        <v>16</v>
      </c>
      <c r="AK171">
        <f>SUM(AK172:AK177)</f>
        <v>15</v>
      </c>
      <c r="AL171">
        <f>SUM(AL172:AL177)</f>
        <v>7</v>
      </c>
      <c r="AM171">
        <f>SUM(AM172:AM177)</f>
        <v>9</v>
      </c>
      <c r="AN171">
        <f>SUM(AN172:AN177)</f>
        <v>6</v>
      </c>
      <c r="AO171">
        <f>SUM(AO172:AO177)</f>
        <v>6</v>
      </c>
      <c r="AP171">
        <f>SUM(AP172:AP177)</f>
        <v>8</v>
      </c>
      <c r="AQ171">
        <f>SUM(AQ172:AQ177)</f>
        <v>6</v>
      </c>
      <c r="AR171">
        <f>SUM(AR172:AR177)</f>
        <v>0</v>
      </c>
      <c r="AS171">
        <f>SUM(AS172:AS177)</f>
        <v>0</v>
      </c>
      <c r="AT171">
        <f>SUM(AT172:AT177)</f>
        <v>0</v>
      </c>
      <c r="AU171">
        <f>SUM(AU172:AU177)</f>
        <v>0</v>
      </c>
      <c r="AV171">
        <f>SUM(AV172:AV177)</f>
        <v>0</v>
      </c>
    </row>
    <row r="172">
      <c r="C172" t="str">
        <v>官网</v>
      </c>
      <c r="D172" t="str">
        <v>#</v>
      </c>
      <c r="V172">
        <v>1</v>
      </c>
      <c r="W172">
        <v>1</v>
      </c>
      <c r="X172">
        <v>2</v>
      </c>
      <c r="Y172">
        <v>2</v>
      </c>
      <c r="Z172">
        <v>2</v>
      </c>
      <c r="AA172">
        <v>1</v>
      </c>
      <c r="AB172">
        <v>1</v>
      </c>
      <c r="AC172">
        <v>0</v>
      </c>
      <c r="AD172">
        <v>0</v>
      </c>
      <c r="AE172">
        <v>1</v>
      </c>
      <c r="AF172">
        <v>2</v>
      </c>
      <c r="AG172">
        <v>1</v>
      </c>
      <c r="AH172">
        <v>1</v>
      </c>
      <c r="AI172">
        <v>2</v>
      </c>
      <c r="AJ172">
        <v>3</v>
      </c>
      <c r="AK172">
        <v>3</v>
      </c>
      <c r="AL172">
        <v>1</v>
      </c>
      <c r="AM172">
        <v>2</v>
      </c>
      <c r="AN172">
        <v>1</v>
      </c>
      <c r="AO172">
        <v>1</v>
      </c>
      <c r="AP172">
        <v>2</v>
      </c>
      <c r="AQ172">
        <v>1</v>
      </c>
    </row>
    <row r="173">
      <c r="C173" t="str">
        <v>谷歌SEM</v>
      </c>
      <c r="D173" t="str">
        <v>#</v>
      </c>
      <c r="V173">
        <v>2</v>
      </c>
      <c r="W173">
        <v>1</v>
      </c>
      <c r="X173">
        <v>3</v>
      </c>
      <c r="Y173">
        <v>3</v>
      </c>
      <c r="Z173">
        <v>2</v>
      </c>
      <c r="AA173">
        <v>2</v>
      </c>
      <c r="AB173">
        <v>1</v>
      </c>
      <c r="AC173">
        <v>1</v>
      </c>
      <c r="AD173">
        <v>1</v>
      </c>
      <c r="AE173">
        <v>2</v>
      </c>
      <c r="AF173">
        <v>3</v>
      </c>
      <c r="AG173">
        <v>1</v>
      </c>
      <c r="AH173">
        <v>2</v>
      </c>
      <c r="AI173">
        <v>3</v>
      </c>
      <c r="AJ173">
        <v>5</v>
      </c>
      <c r="AK173">
        <v>4</v>
      </c>
      <c r="AL173">
        <v>2</v>
      </c>
      <c r="AM173">
        <v>2</v>
      </c>
      <c r="AN173">
        <v>2</v>
      </c>
      <c r="AO173">
        <v>2</v>
      </c>
      <c r="AP173">
        <v>2</v>
      </c>
      <c r="AQ173">
        <v>2</v>
      </c>
    </row>
    <row r="174">
      <c r="C174" t="str">
        <v>验车网站</v>
      </c>
      <c r="D174" t="str">
        <v>#</v>
      </c>
      <c r="V174">
        <v>1</v>
      </c>
      <c r="W174">
        <v>0</v>
      </c>
      <c r="X174">
        <v>2</v>
      </c>
      <c r="Y174">
        <v>2</v>
      </c>
      <c r="Z174">
        <v>1</v>
      </c>
      <c r="AA174">
        <v>1</v>
      </c>
      <c r="AB174">
        <v>0</v>
      </c>
      <c r="AC174">
        <v>0</v>
      </c>
      <c r="AD174">
        <v>0</v>
      </c>
      <c r="AE174">
        <v>1</v>
      </c>
      <c r="AF174">
        <v>1</v>
      </c>
      <c r="AG174">
        <v>1</v>
      </c>
      <c r="AH174">
        <v>1</v>
      </c>
      <c r="AI174">
        <v>2</v>
      </c>
      <c r="AJ174">
        <v>2</v>
      </c>
      <c r="AK174">
        <v>2</v>
      </c>
      <c r="AL174">
        <v>1</v>
      </c>
      <c r="AM174">
        <v>1</v>
      </c>
      <c r="AN174">
        <v>1</v>
      </c>
      <c r="AO174">
        <v>1</v>
      </c>
      <c r="AP174">
        <v>1</v>
      </c>
      <c r="AQ174">
        <v>1</v>
      </c>
    </row>
    <row r="175">
      <c r="C175" t="str">
        <v>Facebook</v>
      </c>
      <c r="D175" t="str">
        <v>#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</row>
    <row r="176">
      <c r="C176" t="str">
        <v>新田（25年11月及之后，如有）</v>
      </c>
      <c r="D176" t="str">
        <v>#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1</v>
      </c>
      <c r="AJ176">
        <v>1</v>
      </c>
      <c r="AK176">
        <v>1</v>
      </c>
      <c r="AL176">
        <v>1</v>
      </c>
      <c r="AM176">
        <v>1</v>
      </c>
      <c r="AN176">
        <v>0</v>
      </c>
      <c r="AO176">
        <v>0</v>
      </c>
      <c r="AP176">
        <v>1</v>
      </c>
      <c r="AQ176">
        <v>0</v>
      </c>
    </row>
    <row r="177">
      <c r="C177" t="str">
        <v>电邮</v>
      </c>
      <c r="V177">
        <v>2</v>
      </c>
      <c r="W177">
        <v>1</v>
      </c>
      <c r="X177">
        <v>3</v>
      </c>
      <c r="Y177">
        <v>3</v>
      </c>
      <c r="Z177">
        <v>3</v>
      </c>
      <c r="AA177">
        <v>2</v>
      </c>
      <c r="AB177">
        <v>1</v>
      </c>
      <c r="AC177">
        <v>1</v>
      </c>
      <c r="AD177">
        <v>1</v>
      </c>
      <c r="AE177">
        <v>2</v>
      </c>
      <c r="AF177">
        <v>3</v>
      </c>
      <c r="AG177">
        <v>2</v>
      </c>
      <c r="AH177">
        <v>2</v>
      </c>
      <c r="AI177">
        <v>4</v>
      </c>
      <c r="AJ177">
        <v>5</v>
      </c>
      <c r="AK177">
        <v>5</v>
      </c>
      <c r="AL177">
        <v>2</v>
      </c>
      <c r="AM177">
        <v>3</v>
      </c>
      <c r="AN177">
        <v>2</v>
      </c>
      <c r="AO177">
        <v>2</v>
      </c>
      <c r="AP177">
        <v>2</v>
      </c>
      <c r="AQ177">
        <v>2</v>
      </c>
    </row>
    <row r="178">
      <c r="C178" t="str">
        <v xml:space="preserve"> - CTG channel</v>
      </c>
      <c r="D178" t="str">
        <v>#</v>
      </c>
      <c r="F178">
        <f>H178</f>
        <v>35</v>
      </c>
      <c r="H178">
        <f>SUM(Y178:AE178)</f>
        <v>35</v>
      </c>
      <c r="J178">
        <f>W178</f>
        <v>0</v>
      </c>
      <c r="K178">
        <f>Z178</f>
        <v>2</v>
      </c>
      <c r="O178">
        <v>6</v>
      </c>
      <c r="P178">
        <f>SUM(P179:P180)</f>
        <v>0</v>
      </c>
      <c r="Q178">
        <f>SUM(Q179:Q180)</f>
        <v>0</v>
      </c>
      <c r="R178">
        <f>SUM(R179:R180)</f>
        <v>0</v>
      </c>
      <c r="S178">
        <f>SUM(S179:S180)</f>
        <v>0</v>
      </c>
      <c r="T178">
        <f>SUM(T179:T180)</f>
        <v>0</v>
      </c>
      <c r="U178">
        <f>SUM(U179:U180)</f>
        <v>0</v>
      </c>
      <c r="V178">
        <f>SUM(V179:V180)</f>
        <v>1</v>
      </c>
      <c r="W178">
        <f>SUM(W179:W180)</f>
        <v>0</v>
      </c>
      <c r="X178">
        <f>SUM(X179:X180)</f>
        <v>2</v>
      </c>
      <c r="Y178">
        <f>SUM(Y179:Y180)</f>
        <v>2</v>
      </c>
      <c r="Z178">
        <f>SUM(Z179:Z180)</f>
        <v>2</v>
      </c>
      <c r="AA178">
        <f>SUM(AA179:AA180)</f>
        <v>1</v>
      </c>
      <c r="AB178">
        <f>SUM(AB179:AB180)</f>
        <v>0</v>
      </c>
      <c r="AC178">
        <f>SUM(AC179:AC180)</f>
        <v>0</v>
      </c>
      <c r="AD178">
        <f>SUM(AD179:AD180)</f>
        <v>0</v>
      </c>
      <c r="AE178">
        <f>SUM(AE179:AE180)</f>
        <v>2</v>
      </c>
      <c r="AF178">
        <f>SUM(AF179:AF180)</f>
        <v>2</v>
      </c>
      <c r="AG178">
        <f>SUM(AG179:AG180)</f>
        <v>0</v>
      </c>
      <c r="AH178">
        <f>SUM(AH179:AH180)</f>
        <v>1</v>
      </c>
      <c r="AI178">
        <f>SUM(AI179:AI180)</f>
        <v>1</v>
      </c>
      <c r="AJ178">
        <f>SUM(AJ179:AJ180)</f>
        <v>2</v>
      </c>
      <c r="AK178">
        <f>SUM(AK179:AK180)</f>
        <v>2</v>
      </c>
      <c r="AL178">
        <f>SUM(AL179:AL180)</f>
        <v>1</v>
      </c>
      <c r="AM178">
        <f>SUM(AM179:AM180)</f>
        <v>1</v>
      </c>
      <c r="AN178">
        <f>SUM(AN179:AN180)</f>
        <v>1</v>
      </c>
      <c r="AO178">
        <f>SUM(AO179:AO180)</f>
        <v>1</v>
      </c>
      <c r="AP178">
        <f>SUM(AP179:AP180)</f>
        <v>1</v>
      </c>
      <c r="AQ178">
        <f>SUM(AQ179:AQ180)</f>
        <v>1</v>
      </c>
      <c r="AR178">
        <f>SUM(AR179:AR180)</f>
        <v>0</v>
      </c>
      <c r="AS178">
        <f>SUM(AS179:AS180)</f>
        <v>0</v>
      </c>
      <c r="AT178">
        <f>SUM(AT179:AT180)</f>
        <v>0</v>
      </c>
      <c r="AU178">
        <f>SUM(AU179:AU180)</f>
        <v>0</v>
      </c>
    </row>
    <row r="179">
      <c r="C179" t="str">
        <v>天水围</v>
      </c>
      <c r="D179" t="str">
        <v>#</v>
      </c>
      <c r="V179">
        <v>1</v>
      </c>
      <c r="W179">
        <v>0</v>
      </c>
      <c r="X179">
        <v>1</v>
      </c>
      <c r="Y179">
        <v>1</v>
      </c>
      <c r="Z179">
        <v>1</v>
      </c>
      <c r="AA179">
        <v>1</v>
      </c>
      <c r="AB179">
        <v>0</v>
      </c>
      <c r="AC179">
        <v>0</v>
      </c>
      <c r="AD179">
        <v>0</v>
      </c>
      <c r="AE179">
        <v>1</v>
      </c>
      <c r="AF179">
        <v>1</v>
      </c>
      <c r="AG179">
        <v>0</v>
      </c>
      <c r="AH179">
        <v>1</v>
      </c>
      <c r="AI179">
        <v>1</v>
      </c>
      <c r="AJ179">
        <v>2</v>
      </c>
      <c r="AK179">
        <v>2</v>
      </c>
      <c r="AL179">
        <v>1</v>
      </c>
      <c r="AM179">
        <v>1</v>
      </c>
      <c r="AN179">
        <v>1</v>
      </c>
      <c r="AO179">
        <v>1</v>
      </c>
      <c r="AP179">
        <v>1</v>
      </c>
      <c r="AQ179">
        <v>1</v>
      </c>
    </row>
    <row r="180">
      <c r="C180" t="str">
        <v>新田（25年10月及之前）</v>
      </c>
      <c r="D180" t="str">
        <v>#</v>
      </c>
      <c r="V180">
        <v>0</v>
      </c>
      <c r="W180">
        <v>0</v>
      </c>
      <c r="X180">
        <v>1</v>
      </c>
      <c r="Y180">
        <v>1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1</v>
      </c>
      <c r="AF180">
        <v>1</v>
      </c>
      <c r="AG180">
        <v>0</v>
      </c>
      <c r="AH180">
        <v>0</v>
      </c>
    </row>
    <row r="181">
      <c r="C181" t="str">
        <v>等效先认产品</v>
      </c>
      <c r="AK181">
        <f>AK182+AK189</f>
        <v>0</v>
      </c>
      <c r="AL181">
        <f>AL182+AL189</f>
        <v>0</v>
      </c>
      <c r="AM181">
        <f>AM182+AM189</f>
        <v>0</v>
      </c>
      <c r="AN181">
        <f>AN182+AN189</f>
        <v>0</v>
      </c>
      <c r="AO181">
        <f>AO182+AO189</f>
        <v>0</v>
      </c>
      <c r="AP181">
        <f>AP182+AP189</f>
        <v>0</v>
      </c>
      <c r="AQ181">
        <f>AQ182+AQ189</f>
        <v>0</v>
      </c>
      <c r="AR181">
        <f>AR182+AR189</f>
        <v>0</v>
      </c>
      <c r="AS181">
        <f>AS182+AS189</f>
        <v>0</v>
      </c>
      <c r="AT181">
        <f>AT182+AT189</f>
        <v>0</v>
      </c>
      <c r="AU181">
        <f>AU182+AU189</f>
        <v>0</v>
      </c>
      <c r="AV181">
        <f>AV182+AV189</f>
        <v>0</v>
      </c>
    </row>
    <row r="182">
      <c r="B182" t="str">
        <v>Webpage, organic, SEM</v>
      </c>
      <c r="C182" t="str">
        <v xml:space="preserve"> - Online channel</v>
      </c>
      <c r="D182" t="str">
        <v>#</v>
      </c>
      <c r="AK182">
        <f>SUM(AK183:AK188)</f>
        <v>0</v>
      </c>
      <c r="AL182">
        <f>SUM(AL183:AL188)</f>
        <v>0</v>
      </c>
      <c r="AM182">
        <f>SUM(AM183:AM188)</f>
        <v>0</v>
      </c>
      <c r="AN182">
        <f>SUM(AN183:AN188)</f>
        <v>0</v>
      </c>
      <c r="AO182">
        <f>SUM(AO183:AO188)</f>
        <v>0</v>
      </c>
      <c r="AP182">
        <f>SUM(AP183:AP188)</f>
        <v>0</v>
      </c>
      <c r="AQ182">
        <f>SUM(AQ183:AQ188)</f>
        <v>0</v>
      </c>
      <c r="AR182">
        <f>SUM(AR183:AR188)</f>
        <v>0</v>
      </c>
      <c r="AS182">
        <f>SUM(AS183:AS188)</f>
        <v>0</v>
      </c>
      <c r="AT182">
        <f>SUM(AT183:AT188)</f>
        <v>0</v>
      </c>
      <c r="AU182">
        <f>SUM(AU183:AU188)</f>
        <v>0</v>
      </c>
    </row>
    <row r="183">
      <c r="C183" t="str">
        <v>官网</v>
      </c>
      <c r="D183" t="str">
        <v>#</v>
      </c>
    </row>
    <row r="184">
      <c r="C184" t="str">
        <v>谷歌SEM</v>
      </c>
      <c r="D184" t="str">
        <v>#</v>
      </c>
    </row>
    <row r="185">
      <c r="C185" t="str">
        <v>验车网站</v>
      </c>
      <c r="D185" t="str">
        <v>#</v>
      </c>
    </row>
    <row r="186">
      <c r="C186" t="str">
        <v>Facebook</v>
      </c>
      <c r="D186" t="str">
        <v>#</v>
      </c>
    </row>
    <row r="187">
      <c r="C187" t="str">
        <v>新田（25年11月及之后，如有）</v>
      </c>
      <c r="D187" t="str">
        <v>#</v>
      </c>
    </row>
    <row r="188">
      <c r="C188" t="str">
        <v>电邮</v>
      </c>
    </row>
    <row r="189">
      <c r="B189" t="str">
        <v>QR code+redirect</v>
      </c>
      <c r="C189" t="str">
        <v xml:space="preserve"> - CTG channel</v>
      </c>
      <c r="D189" t="str">
        <v>#</v>
      </c>
      <c r="AK189">
        <f>SUM(AK190:AK191)</f>
        <v>0</v>
      </c>
      <c r="AL189">
        <f>SUM(AL190:AL191)</f>
        <v>0</v>
      </c>
      <c r="AM189">
        <f>SUM(AM190:AM191)</f>
        <v>0</v>
      </c>
      <c r="AN189">
        <f>SUM(AN190:AN191)</f>
        <v>0</v>
      </c>
      <c r="AO189">
        <f>SUM(AO190:AO191)</f>
        <v>0</v>
      </c>
      <c r="AP189">
        <f>SUM(AP190:AP191)</f>
        <v>0</v>
      </c>
      <c r="AQ189">
        <f>SUM(AQ190:AQ191)</f>
        <v>0</v>
      </c>
      <c r="AR189">
        <f>SUM(AR190:AR191)</f>
        <v>0</v>
      </c>
      <c r="AS189">
        <f>SUM(AS190:AS191)</f>
        <v>0</v>
      </c>
      <c r="AT189">
        <f>SUM(AT190:AT191)</f>
        <v>0</v>
      </c>
      <c r="AU189">
        <f>SUM(AU190:AU191)</f>
        <v>0</v>
      </c>
    </row>
    <row r="190">
      <c r="C190" t="str">
        <v>天水围</v>
      </c>
      <c r="D190" t="str">
        <v>#</v>
      </c>
    </row>
    <row r="191">
      <c r="C191" t="str">
        <v>新田（25年10月及之前）</v>
      </c>
      <c r="D191" t="str">
        <v>#</v>
      </c>
    </row>
    <row r="192">
      <c r="C192" t="str">
        <v>PICC Product%</v>
      </c>
      <c r="D192" t="str">
        <v>%</v>
      </c>
      <c r="T192">
        <f>T193/(T146+T193)</f>
        <v>0.8072289156626506</v>
      </c>
      <c r="U192">
        <f>U193/(U146+U193)</f>
        <v>0.717948717948718</v>
      </c>
      <c r="V192">
        <f>V193/(V146+V193)</f>
        <v>0.7571428571428571</v>
      </c>
      <c r="W192">
        <f>W193/(W146+W193)</f>
        <v>0.7625</v>
      </c>
      <c r="X192">
        <f>X193/(X146+X193)</f>
        <v>0.7538461538461538</v>
      </c>
      <c r="Y192">
        <f>Y193/(Y146+Y193)</f>
        <v>0.7195121951219512</v>
      </c>
      <c r="Z192">
        <f>Z193/(Z146+Z193)</f>
        <v>0.7586206896551724</v>
      </c>
      <c r="AA192">
        <f>AA193/(AA146+AA193)</f>
        <v>0.813953488372093</v>
      </c>
      <c r="AB192">
        <f>AB193/(AB146+AB193)</f>
        <v>0.7931034482758621</v>
      </c>
      <c r="AC192">
        <f>AC193/(AC146+AC193)</f>
        <v>0.8235294117647058</v>
      </c>
      <c r="AD192">
        <f>AD193/(AD146+AD193)</f>
        <v>0.8070175438596491</v>
      </c>
      <c r="AE192">
        <f>AE193/(AE146+AE193)</f>
        <v>0.6153846153846154</v>
      </c>
      <c r="AF192">
        <f>AF193/(AF146+AF193)</f>
        <v>0.8297872340425532</v>
      </c>
      <c r="AG192">
        <f>AG193/(AG146+AG193)</f>
        <v>0.7586206896551724</v>
      </c>
      <c r="AH192">
        <f>AH193/(AH146+AH193)</f>
        <v>0.8363636363636363</v>
      </c>
      <c r="AI192">
        <f>AI193/(AI146+AI193)</f>
        <v>0.8666666666666667</v>
      </c>
      <c r="AJ192">
        <f>AJ193/(AJ146+AJ193)</f>
        <v>0.8305084745762712</v>
      </c>
      <c r="AK192">
        <f>AK193/(AK146+AK193)</f>
        <v>0.8360655737704918</v>
      </c>
      <c r="AL192">
        <f>AL193/(AL146+AL193)</f>
        <v>0.8</v>
      </c>
      <c r="AM192">
        <f>AM193/(AM146+AM193)</f>
        <v>0.7386363636363636</v>
      </c>
      <c r="AN192">
        <f>AN193/(AN146+AN193)</f>
        <v>0.6835443037974683</v>
      </c>
      <c r="AO192">
        <f>AO193/(AO146+AO193)</f>
        <v>0.6444444444444445</v>
      </c>
      <c r="AP192">
        <f>AP193/(AP146+AP193)</f>
        <v>0.651685393258427</v>
      </c>
      <c r="AQ192">
        <f>AQ193/(AQ146+AQ193)</f>
        <v>0.6206896551724138</v>
      </c>
      <c r="AR192" t="e">
        <f>AR193/(AR146+AR193)</f>
        <v>#DIV/0!</v>
      </c>
      <c r="AS192" t="e">
        <f>AS193/(AS146+AS193)</f>
        <v>#DIV/0!</v>
      </c>
      <c r="AT192" t="e">
        <f>AT193/(AT146+AT193)</f>
        <v>#DIV/0!</v>
      </c>
      <c r="AU192" t="e">
        <f>AU193/(AU146+AU193)</f>
        <v>#DIV/0!</v>
      </c>
      <c r="AV192" t="e">
        <f>AV193/(AV146+AV193)</f>
        <v>#DIV/0!</v>
      </c>
    </row>
    <row r="193">
      <c r="C193" t="str">
        <v>PICC Product - New Sales</v>
      </c>
      <c r="D193" t="str">
        <v>#</v>
      </c>
      <c r="F193">
        <f>H193</f>
        <v>629</v>
      </c>
      <c r="H193">
        <f>SUM(Y193:Z193)</f>
        <v>629</v>
      </c>
      <c r="J193">
        <f>W193</f>
        <v>61</v>
      </c>
      <c r="K193">
        <f>Z193</f>
        <v>66</v>
      </c>
      <c r="O193">
        <v>0</v>
      </c>
      <c r="P193">
        <v>1</v>
      </c>
      <c r="Q193">
        <f>Q195+Q202</f>
        <v>45</v>
      </c>
      <c r="R193">
        <f>R195+R202</f>
        <v>58</v>
      </c>
      <c r="S193">
        <f>S195+S202</f>
        <v>75</v>
      </c>
      <c r="T193">
        <v>67</v>
      </c>
      <c r="U193">
        <v>56</v>
      </c>
      <c r="V193">
        <v>53</v>
      </c>
      <c r="W193">
        <f>W195+W202</f>
        <v>61</v>
      </c>
      <c r="X193">
        <f>X195+X202</f>
        <v>49</v>
      </c>
      <c r="Y193">
        <f>Y195+Y202</f>
        <v>59</v>
      </c>
      <c r="Z193">
        <f>Z195+Z202</f>
        <v>66</v>
      </c>
      <c r="AA193">
        <f>AA195+AA202</f>
        <v>70</v>
      </c>
      <c r="AB193">
        <f>AB195+AB202</f>
        <v>46</v>
      </c>
      <c r="AC193">
        <f>AC195+AC202</f>
        <v>42</v>
      </c>
      <c r="AD193">
        <f>AD195+AD202</f>
        <v>46</v>
      </c>
      <c r="AE193">
        <f>AE195+AE202</f>
        <v>16</v>
      </c>
      <c r="AF193">
        <f>AF195+AF202</f>
        <v>39</v>
      </c>
      <c r="AG193">
        <f>AG195+AG202</f>
        <v>22</v>
      </c>
      <c r="AH193">
        <f>AH195+AH202</f>
        <v>46</v>
      </c>
      <c r="AI193">
        <f>AI195+AI202</f>
        <v>52</v>
      </c>
      <c r="AJ193">
        <f>AJ195+AJ202</f>
        <v>49</v>
      </c>
      <c r="AK193">
        <f>AK194+AK205</f>
        <v>51</v>
      </c>
      <c r="AL193">
        <f>AL194+AL205</f>
        <v>48</v>
      </c>
      <c r="AM193">
        <f>AM194+AM205</f>
        <v>65</v>
      </c>
      <c r="AN193">
        <f>AN194+AN205</f>
        <v>54</v>
      </c>
      <c r="AO193">
        <f>AO194+AO205</f>
        <v>58</v>
      </c>
      <c r="AP193">
        <f>AP194+AP205</f>
        <v>58</v>
      </c>
      <c r="AQ193">
        <f>AQ194+AQ205</f>
        <v>54</v>
      </c>
      <c r="AR193">
        <f>AR194+AR205</f>
        <v>0</v>
      </c>
      <c r="AS193">
        <f>AS194+AS205</f>
        <v>0</v>
      </c>
      <c r="AT193">
        <f>AT194+AT205</f>
        <v>0</v>
      </c>
      <c r="AU193">
        <f>AU194+AU205</f>
        <v>0</v>
      </c>
      <c r="AV193">
        <f>AV194+AV205</f>
        <v>0</v>
      </c>
    </row>
    <row r="194">
      <c r="C194" t="str">
        <v>一站式产品</v>
      </c>
      <c r="D194" t="str">
        <v>#</v>
      </c>
      <c r="M194">
        <f>M195+M202</f>
        <v>0</v>
      </c>
      <c r="N194">
        <f>N195+N202</f>
        <v>0</v>
      </c>
      <c r="O194">
        <f>O195+O202</f>
        <v>0</v>
      </c>
      <c r="P194">
        <f>P195+P202</f>
        <v>1</v>
      </c>
      <c r="Q194">
        <f>Q195+Q202</f>
        <v>45</v>
      </c>
      <c r="R194">
        <f>R195+R202</f>
        <v>58</v>
      </c>
      <c r="S194">
        <f>S195+S202</f>
        <v>75</v>
      </c>
      <c r="T194">
        <f>T195+T202</f>
        <v>68</v>
      </c>
      <c r="U194">
        <f>U195+U202</f>
        <v>57</v>
      </c>
      <c r="V194">
        <f>V195+V202</f>
        <v>52</v>
      </c>
      <c r="W194">
        <f>W195+W202</f>
        <v>61</v>
      </c>
      <c r="X194">
        <f>X195+X202</f>
        <v>49</v>
      </c>
      <c r="Y194">
        <f>Y195+Y202</f>
        <v>59</v>
      </c>
      <c r="Z194">
        <f>Z195+Z202</f>
        <v>66</v>
      </c>
      <c r="AA194">
        <f>AA195+AA202</f>
        <v>70</v>
      </c>
      <c r="AB194">
        <f>AB195+AB202</f>
        <v>46</v>
      </c>
      <c r="AC194">
        <f>AC195+AC202</f>
        <v>42</v>
      </c>
      <c r="AD194">
        <f>AD195+AD202</f>
        <v>46</v>
      </c>
      <c r="AE194">
        <f>AE195+AE202</f>
        <v>16</v>
      </c>
      <c r="AF194">
        <f>AF195+AF202</f>
        <v>39</v>
      </c>
      <c r="AG194">
        <f>AG195+AG202</f>
        <v>22</v>
      </c>
      <c r="AH194">
        <f>AH195+AH202</f>
        <v>46</v>
      </c>
      <c r="AI194">
        <f>AI195+AI202</f>
        <v>52</v>
      </c>
      <c r="AJ194">
        <f>AJ195+AJ202</f>
        <v>49</v>
      </c>
      <c r="AK194">
        <f>AK195+AK202</f>
        <v>51</v>
      </c>
      <c r="AL194">
        <f>AL195+AL202</f>
        <v>44</v>
      </c>
      <c r="AM194">
        <f>AM195+AM202</f>
        <v>48</v>
      </c>
      <c r="AN194">
        <f>AN195+AN202</f>
        <v>33</v>
      </c>
      <c r="AO194">
        <f>AO195+AO202</f>
        <v>30</v>
      </c>
      <c r="AP194">
        <f>AP195+AP202</f>
        <v>32</v>
      </c>
      <c r="AQ194">
        <f>AQ195+AQ202</f>
        <v>22</v>
      </c>
      <c r="AR194">
        <f>AR195+AR202</f>
        <v>0</v>
      </c>
      <c r="AS194">
        <f>AS195+AS202</f>
        <v>0</v>
      </c>
      <c r="AT194">
        <f>AT195+AT202</f>
        <v>0</v>
      </c>
      <c r="AU194">
        <f>AU195+AU202</f>
        <v>0</v>
      </c>
    </row>
    <row r="195">
      <c r="C195" t="str">
        <v xml:space="preserve"> - Online channel</v>
      </c>
      <c r="D195" t="str">
        <v>#</v>
      </c>
      <c r="F195">
        <f>H195</f>
        <v>265</v>
      </c>
      <c r="H195">
        <f>SUM(Y195:Z195)</f>
        <v>265</v>
      </c>
      <c r="J195">
        <f>W195</f>
        <v>26</v>
      </c>
      <c r="K195">
        <f>Z195</f>
        <v>28</v>
      </c>
      <c r="Q195">
        <f>SUM(Q196:Q199)</f>
        <v>20</v>
      </c>
      <c r="R195">
        <f>SUM(R196:R199)</f>
        <v>28</v>
      </c>
      <c r="S195">
        <f>SUM(S196:S199)</f>
        <v>39</v>
      </c>
      <c r="T195">
        <f>SUM(T196:T199)</f>
        <v>27</v>
      </c>
      <c r="U195">
        <f>SUM(U196:U199)</f>
        <v>24</v>
      </c>
      <c r="V195">
        <f>SUM(V196:V199)</f>
        <v>23</v>
      </c>
      <c r="W195">
        <f>SUM(W196:W199)</f>
        <v>26</v>
      </c>
      <c r="X195">
        <f>SUM(X196:X199)</f>
        <v>21</v>
      </c>
      <c r="Y195">
        <f>SUM(Y196:Y199)</f>
        <v>25</v>
      </c>
      <c r="Z195">
        <f>SUM(Z196:Z199)</f>
        <v>28</v>
      </c>
      <c r="AA195">
        <f>SUM(AA196:AA199)</f>
        <v>26</v>
      </c>
      <c r="AB195">
        <f>SUM(AB196:AB199)</f>
        <v>19</v>
      </c>
      <c r="AC195">
        <f>SUM(AC196:AC199)</f>
        <v>19</v>
      </c>
      <c r="AD195">
        <f>SUM(AD196:AD199)</f>
        <v>19</v>
      </c>
      <c r="AE195">
        <f>SUM(AE196:AE199)</f>
        <v>9</v>
      </c>
      <c r="AF195">
        <f>SUM(AF196:AF199)</f>
        <v>17</v>
      </c>
      <c r="AG195">
        <f>SUM(AG196:AG199)</f>
        <v>8</v>
      </c>
      <c r="AH195">
        <f>SUM(AH196:AH199)</f>
        <v>12</v>
      </c>
      <c r="AI195">
        <f>SUM(AI196:AI199)</f>
        <v>10</v>
      </c>
      <c r="AJ195">
        <f>SUM(AJ196:AJ199)</f>
        <v>10</v>
      </c>
      <c r="AK195">
        <f>SUM(AK196:AK201)</f>
        <v>6</v>
      </c>
      <c r="AL195">
        <f>SUM(AL196:AL201)</f>
        <v>1</v>
      </c>
      <c r="AM195">
        <f>SUM(AM196:AM201)</f>
        <v>7</v>
      </c>
      <c r="AN195">
        <f>SUM(AN196:AN201)</f>
        <v>1</v>
      </c>
      <c r="AO195">
        <f>SUM(AO196:AO201)</f>
        <v>1</v>
      </c>
      <c r="AP195">
        <f>SUM(AP196:AP201)</f>
        <v>0</v>
      </c>
      <c r="AQ195">
        <f>SUM(AQ196:AQ201)</f>
        <v>1</v>
      </c>
      <c r="AR195">
        <f>SUM(AR196:AR201)</f>
        <v>0</v>
      </c>
      <c r="AS195">
        <f>SUM(AS196:AS201)</f>
        <v>0</v>
      </c>
      <c r="AT195">
        <f>SUM(AT196:AT201)</f>
        <v>0</v>
      </c>
      <c r="AU195">
        <f>SUM(AU196:AU201)</f>
        <v>0</v>
      </c>
    </row>
    <row r="196">
      <c r="C196" t="str">
        <v>官网</v>
      </c>
      <c r="D196" t="str">
        <v>#</v>
      </c>
      <c r="Q196">
        <v>10</v>
      </c>
      <c r="R196">
        <v>12</v>
      </c>
      <c r="S196">
        <v>18</v>
      </c>
      <c r="T196">
        <v>18</v>
      </c>
      <c r="U196">
        <v>16</v>
      </c>
      <c r="V196">
        <v>15</v>
      </c>
      <c r="W196">
        <v>15</v>
      </c>
      <c r="X196">
        <v>14</v>
      </c>
      <c r="Y196">
        <v>15</v>
      </c>
      <c r="Z196">
        <v>17</v>
      </c>
      <c r="AA196">
        <v>17</v>
      </c>
      <c r="AB196">
        <v>13</v>
      </c>
      <c r="AC196">
        <v>14</v>
      </c>
      <c r="AD196">
        <v>16</v>
      </c>
      <c r="AE196">
        <v>5</v>
      </c>
      <c r="AF196">
        <v>12</v>
      </c>
      <c r="AG196">
        <v>5</v>
      </c>
      <c r="AH196">
        <v>8</v>
      </c>
      <c r="AI196">
        <v>6</v>
      </c>
      <c r="AJ196">
        <v>5</v>
      </c>
      <c r="AK196">
        <v>3</v>
      </c>
      <c r="AL196">
        <v>1</v>
      </c>
      <c r="AM196">
        <v>7</v>
      </c>
      <c r="AN196">
        <v>1</v>
      </c>
      <c r="AO196">
        <v>1</v>
      </c>
      <c r="AP196">
        <v>0</v>
      </c>
      <c r="AQ196">
        <v>1</v>
      </c>
    </row>
    <row r="197">
      <c r="C197" t="str">
        <v>谷歌SEM</v>
      </c>
      <c r="D197" t="str">
        <v>#</v>
      </c>
      <c r="R197">
        <v>1</v>
      </c>
      <c r="S197">
        <v>5</v>
      </c>
      <c r="T197">
        <v>2</v>
      </c>
      <c r="U197">
        <v>4</v>
      </c>
      <c r="V197">
        <v>4</v>
      </c>
      <c r="W197">
        <v>5</v>
      </c>
      <c r="X197">
        <v>2</v>
      </c>
      <c r="Y197">
        <v>6</v>
      </c>
      <c r="Z197">
        <v>6</v>
      </c>
      <c r="AA197">
        <v>5</v>
      </c>
      <c r="AB197">
        <v>3</v>
      </c>
      <c r="AC197">
        <v>4</v>
      </c>
      <c r="AD197">
        <v>1</v>
      </c>
      <c r="AE197">
        <v>2</v>
      </c>
      <c r="AF197">
        <v>3</v>
      </c>
      <c r="AG197">
        <v>2</v>
      </c>
      <c r="AH197">
        <v>3</v>
      </c>
      <c r="AI197">
        <v>3</v>
      </c>
      <c r="AJ197">
        <v>4</v>
      </c>
      <c r="AK197">
        <v>2</v>
      </c>
      <c r="AM197">
        <v>0</v>
      </c>
      <c r="AN197">
        <v>0</v>
      </c>
      <c r="AP197">
        <v>0</v>
      </c>
    </row>
    <row r="198">
      <c r="C198" t="str">
        <v>验车网站</v>
      </c>
      <c r="D198" t="str">
        <v>#</v>
      </c>
      <c r="Q198">
        <v>10</v>
      </c>
      <c r="R198">
        <v>15</v>
      </c>
      <c r="S198">
        <v>16</v>
      </c>
      <c r="T198">
        <v>7</v>
      </c>
      <c r="U198">
        <v>4</v>
      </c>
      <c r="V198">
        <v>4</v>
      </c>
      <c r="W198">
        <v>6</v>
      </c>
      <c r="X198">
        <v>5</v>
      </c>
      <c r="Y198">
        <v>4</v>
      </c>
      <c r="Z198">
        <v>5</v>
      </c>
      <c r="AA198">
        <v>4</v>
      </c>
      <c r="AB198">
        <v>3</v>
      </c>
      <c r="AC198">
        <v>1</v>
      </c>
      <c r="AD198">
        <v>2</v>
      </c>
      <c r="AE198">
        <v>2</v>
      </c>
      <c r="AF198">
        <v>2</v>
      </c>
      <c r="AG198">
        <v>1</v>
      </c>
      <c r="AH198">
        <v>1</v>
      </c>
      <c r="AI198">
        <v>1</v>
      </c>
      <c r="AJ198">
        <v>1</v>
      </c>
      <c r="AK198">
        <v>1</v>
      </c>
      <c r="AL198">
        <v>0</v>
      </c>
      <c r="AM198">
        <v>0</v>
      </c>
      <c r="AO198">
        <v>0</v>
      </c>
      <c r="AQ198">
        <v>0</v>
      </c>
    </row>
    <row r="199">
      <c r="C199" t="str">
        <v>Facebook</v>
      </c>
      <c r="D199" t="str">
        <v>#</v>
      </c>
      <c r="AG199">
        <v>0</v>
      </c>
      <c r="AK199">
        <v>0</v>
      </c>
    </row>
    <row r="200">
      <c r="C200" t="str">
        <v>新田（25年11月及之后，如有）</v>
      </c>
      <c r="D200" t="str">
        <v>#</v>
      </c>
    </row>
    <row r="201">
      <c r="C201" t="str">
        <v>电邮</v>
      </c>
    </row>
    <row r="202">
      <c r="C202" t="str">
        <v xml:space="preserve"> - CTG channel</v>
      </c>
      <c r="D202" t="str">
        <v>#</v>
      </c>
      <c r="F202">
        <f>H202</f>
        <v>364</v>
      </c>
      <c r="H202">
        <f>SUM(Y202:Z202)</f>
        <v>364</v>
      </c>
      <c r="J202">
        <f>W202</f>
        <v>35</v>
      </c>
      <c r="K202">
        <f>Z202</f>
        <v>38</v>
      </c>
      <c r="O202">
        <v>0</v>
      </c>
      <c r="P202">
        <v>1</v>
      </c>
      <c r="Q202">
        <f>SUM(Q203:Q204)</f>
        <v>25</v>
      </c>
      <c r="R202">
        <f>SUM(R203:R204)</f>
        <v>30</v>
      </c>
      <c r="S202">
        <f>SUM(S203:S204)</f>
        <v>36</v>
      </c>
      <c r="T202">
        <f>SUM(T203:T204)</f>
        <v>41</v>
      </c>
      <c r="U202">
        <f>SUM(U203:U204)</f>
        <v>33</v>
      </c>
      <c r="V202">
        <f>SUM(V203:V204)</f>
        <v>29</v>
      </c>
      <c r="W202">
        <f>SUM(W203:W204)</f>
        <v>35</v>
      </c>
      <c r="X202">
        <f>SUM(X203:X204)</f>
        <v>28</v>
      </c>
      <c r="Y202">
        <f>SUM(Y203:Y204)</f>
        <v>34</v>
      </c>
      <c r="Z202">
        <f>SUM(Z203:Z204)</f>
        <v>38</v>
      </c>
      <c r="AA202">
        <f>SUM(AA203:AA204)</f>
        <v>44</v>
      </c>
      <c r="AB202">
        <f>SUM(AB203:AB204)</f>
        <v>27</v>
      </c>
      <c r="AC202">
        <f>SUM(AC203:AC204)</f>
        <v>23</v>
      </c>
      <c r="AD202">
        <f>SUM(AD203:AD204)</f>
        <v>27</v>
      </c>
      <c r="AE202">
        <f>SUM(AE203:AE204)</f>
        <v>7</v>
      </c>
      <c r="AF202">
        <f>SUM(AF203:AF204)</f>
        <v>22</v>
      </c>
      <c r="AG202">
        <f>SUM(AG203:AG204)</f>
        <v>14</v>
      </c>
      <c r="AH202">
        <f>SUM(AH203:AH204)</f>
        <v>34</v>
      </c>
      <c r="AI202">
        <f>SUM(AI203:AI204)</f>
        <v>42</v>
      </c>
      <c r="AJ202">
        <f>SUM(AJ203:AJ204)</f>
        <v>39</v>
      </c>
      <c r="AK202">
        <f>SUM(AK203:AK204)</f>
        <v>45</v>
      </c>
      <c r="AL202">
        <f>SUM(AL203:AL204)</f>
        <v>43</v>
      </c>
      <c r="AM202">
        <f>SUM(AM203:AM204)</f>
        <v>41</v>
      </c>
      <c r="AN202">
        <f>SUM(AN203:AN204)</f>
        <v>32</v>
      </c>
      <c r="AO202">
        <f>SUM(AO203:AO204)</f>
        <v>29</v>
      </c>
      <c r="AP202">
        <f>SUM(AP203:AP204)</f>
        <v>32</v>
      </c>
      <c r="AQ202">
        <f>SUM(AQ203:AQ204)</f>
        <v>21</v>
      </c>
      <c r="AR202">
        <f>SUM(AR203:AR204)</f>
        <v>0</v>
      </c>
      <c r="AS202">
        <f>SUM(AS203:AS204)</f>
        <v>0</v>
      </c>
      <c r="AT202">
        <f>SUM(AT203:AT204)</f>
        <v>0</v>
      </c>
      <c r="AU202">
        <f>SUM(AU203:AU204)</f>
        <v>0</v>
      </c>
      <c r="AV202">
        <f>SUM(AV203:AV204)</f>
        <v>0</v>
      </c>
    </row>
    <row r="203">
      <c r="C203" t="str">
        <v>天水围</v>
      </c>
      <c r="D203" t="str">
        <v>#</v>
      </c>
      <c r="Q203">
        <v>21</v>
      </c>
      <c r="R203">
        <v>26</v>
      </c>
      <c r="S203">
        <v>31</v>
      </c>
      <c r="T203">
        <v>21</v>
      </c>
      <c r="U203">
        <v>25</v>
      </c>
      <c r="V203">
        <v>25</v>
      </c>
      <c r="W203">
        <v>32</v>
      </c>
      <c r="X203">
        <v>27</v>
      </c>
      <c r="Y203">
        <v>31</v>
      </c>
      <c r="Z203">
        <v>34</v>
      </c>
      <c r="AA203">
        <v>41</v>
      </c>
      <c r="AB203">
        <v>27</v>
      </c>
      <c r="AC203">
        <v>23</v>
      </c>
      <c r="AD203">
        <v>27</v>
      </c>
      <c r="AE203">
        <v>7</v>
      </c>
      <c r="AF203">
        <v>22</v>
      </c>
      <c r="AG203">
        <v>14</v>
      </c>
      <c r="AH203">
        <v>34</v>
      </c>
      <c r="AI203">
        <v>42</v>
      </c>
      <c r="AJ203">
        <v>39</v>
      </c>
      <c r="AK203">
        <v>45</v>
      </c>
      <c r="AL203">
        <v>43</v>
      </c>
      <c r="AM203">
        <v>41</v>
      </c>
      <c r="AN203">
        <v>32</v>
      </c>
      <c r="AO203">
        <v>29</v>
      </c>
      <c r="AP203">
        <v>32</v>
      </c>
      <c r="AQ203">
        <v>21</v>
      </c>
    </row>
    <row r="204">
      <c r="C204" t="str">
        <v>新田（25年10月及之前）</v>
      </c>
      <c r="D204" t="str">
        <v>#</v>
      </c>
      <c r="Q204">
        <v>4</v>
      </c>
      <c r="R204">
        <v>4</v>
      </c>
      <c r="S204">
        <v>5</v>
      </c>
      <c r="T204">
        <v>20</v>
      </c>
      <c r="U204">
        <v>8</v>
      </c>
      <c r="V204">
        <v>4</v>
      </c>
      <c r="W204">
        <v>3</v>
      </c>
      <c r="X204">
        <v>1</v>
      </c>
      <c r="Y204">
        <v>3</v>
      </c>
      <c r="Z204">
        <v>4</v>
      </c>
      <c r="AA204">
        <v>3</v>
      </c>
      <c r="AB204">
        <v>0</v>
      </c>
      <c r="AD204">
        <v>0</v>
      </c>
    </row>
    <row r="205">
      <c r="C205" t="str">
        <v>等效先认产品</v>
      </c>
      <c r="D205" t="str">
        <v>#</v>
      </c>
      <c r="T205">
        <f>T206+T213</f>
        <v>0</v>
      </c>
      <c r="U205">
        <f>U206+U213</f>
        <v>0</v>
      </c>
      <c r="V205">
        <f>V206+V213</f>
        <v>0</v>
      </c>
      <c r="W205">
        <f>W206+W213</f>
        <v>0</v>
      </c>
      <c r="X205">
        <f>X206+X213</f>
        <v>0</v>
      </c>
      <c r="Y205">
        <f>Y206+Y213</f>
        <v>0</v>
      </c>
      <c r="Z205">
        <f>Z206+Z213</f>
        <v>0</v>
      </c>
      <c r="AA205">
        <f>AA206+AA213</f>
        <v>0</v>
      </c>
      <c r="AB205">
        <f>AB206+AB213</f>
        <v>0</v>
      </c>
      <c r="AC205">
        <f>AC206+AC213</f>
        <v>0</v>
      </c>
      <c r="AD205">
        <f>AD206+AD213</f>
        <v>0</v>
      </c>
      <c r="AE205">
        <f>AE206+AE213</f>
        <v>0</v>
      </c>
      <c r="AF205">
        <f>AF206+AF213</f>
        <v>0</v>
      </c>
      <c r="AG205">
        <f>AG206+AG213</f>
        <v>0</v>
      </c>
      <c r="AH205">
        <f>AH206+AH213</f>
        <v>0</v>
      </c>
      <c r="AI205">
        <f>AI206+AI213</f>
        <v>0</v>
      </c>
      <c r="AJ205">
        <f>AJ206+AJ213</f>
        <v>0</v>
      </c>
      <c r="AK205">
        <f>AK206+AK213</f>
        <v>0</v>
      </c>
      <c r="AL205">
        <f>AL206+AL213</f>
        <v>4</v>
      </c>
      <c r="AM205">
        <f>AM206+AM213</f>
        <v>17</v>
      </c>
      <c r="AN205">
        <f>AN206+AN213</f>
        <v>21</v>
      </c>
      <c r="AO205">
        <f>AO206+AO213</f>
        <v>28</v>
      </c>
      <c r="AP205">
        <f>AP206+AP213</f>
        <v>26</v>
      </c>
      <c r="AQ205">
        <f>AQ206+AQ213</f>
        <v>32</v>
      </c>
      <c r="AR205">
        <f>AR206+AR213</f>
        <v>0</v>
      </c>
      <c r="AS205">
        <f>AS206+AS213</f>
        <v>0</v>
      </c>
      <c r="AT205">
        <f>AT206+AT213</f>
        <v>0</v>
      </c>
      <c r="AU205">
        <f>AU206+AU213</f>
        <v>0</v>
      </c>
    </row>
    <row r="206">
      <c r="C206" t="str">
        <v xml:space="preserve"> - Online channel</v>
      </c>
      <c r="D206" t="str">
        <v>#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f>SUM(AK207:AK212)</f>
        <v>0</v>
      </c>
      <c r="AL206">
        <f>SUM(AL207:AL212)</f>
        <v>1</v>
      </c>
      <c r="AM206">
        <f>SUM(AM207:AM212)</f>
        <v>3</v>
      </c>
      <c r="AN206">
        <f>SUM(AN207:AN212)</f>
        <v>1</v>
      </c>
      <c r="AO206">
        <f>SUM(AO207:AO212)</f>
        <v>1</v>
      </c>
      <c r="AP206">
        <f>SUM(AP207:AP212)</f>
        <v>3</v>
      </c>
      <c r="AQ206">
        <f>SUM(AQ207:AQ212)</f>
        <v>3</v>
      </c>
      <c r="AR206">
        <f>SUM(AR207:AR212)</f>
        <v>0</v>
      </c>
      <c r="AS206">
        <f>SUM(AS207:AS212)</f>
        <v>0</v>
      </c>
      <c r="AT206">
        <f>SUM(AT207:AT212)</f>
        <v>0</v>
      </c>
      <c r="AU206">
        <f>SUM(AU207:AU212)</f>
        <v>0</v>
      </c>
    </row>
    <row r="207">
      <c r="C207" t="str">
        <v>官网</v>
      </c>
      <c r="D207" t="str">
        <v>#</v>
      </c>
      <c r="AK207">
        <v>0</v>
      </c>
      <c r="AL207">
        <v>1</v>
      </c>
      <c r="AM207">
        <v>2</v>
      </c>
      <c r="AO207">
        <v>0</v>
      </c>
      <c r="AP207">
        <v>1</v>
      </c>
      <c r="AQ207">
        <v>1</v>
      </c>
    </row>
    <row r="208">
      <c r="C208" t="str">
        <v>谷歌SEM</v>
      </c>
      <c r="D208" t="str">
        <v>#</v>
      </c>
      <c r="AM208">
        <v>1</v>
      </c>
      <c r="AN208">
        <v>1</v>
      </c>
      <c r="AO208">
        <v>0</v>
      </c>
      <c r="AP208">
        <v>1</v>
      </c>
      <c r="AQ208">
        <v>1</v>
      </c>
    </row>
    <row r="209">
      <c r="C209" t="str">
        <v>验车网站</v>
      </c>
      <c r="D209" t="str">
        <v>#</v>
      </c>
      <c r="AN209">
        <v>0</v>
      </c>
      <c r="AO209">
        <v>1</v>
      </c>
      <c r="AP209">
        <v>1</v>
      </c>
      <c r="AQ209">
        <v>1</v>
      </c>
    </row>
    <row r="210">
      <c r="C210" t="str">
        <v>Facebook</v>
      </c>
      <c r="D210" t="str">
        <v>#</v>
      </c>
    </row>
    <row r="211">
      <c r="C211" t="str">
        <v>新田（25年11月及之后，如有）</v>
      </c>
      <c r="D211" t="str">
        <v>#</v>
      </c>
      <c r="AL211">
        <v>0</v>
      </c>
    </row>
    <row r="212">
      <c r="C212" t="str">
        <v>电邮</v>
      </c>
      <c r="AN212">
        <v>0</v>
      </c>
      <c r="AQ212">
        <v>0</v>
      </c>
    </row>
    <row r="213">
      <c r="C213" t="str">
        <v xml:space="preserve"> - CTG channel</v>
      </c>
      <c r="D213" t="str">
        <v>#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f>SUM(AK214:AK215)</f>
        <v>0</v>
      </c>
      <c r="AL213">
        <f>SUM(AL214:AL215)</f>
        <v>3</v>
      </c>
      <c r="AM213">
        <f>SUM(AM214:AM215)</f>
        <v>14</v>
      </c>
      <c r="AN213">
        <f>SUM(AN214:AN215)</f>
        <v>20</v>
      </c>
      <c r="AO213">
        <f>SUM(AO214:AO215)</f>
        <v>27</v>
      </c>
      <c r="AP213">
        <f>SUM(AP214:AP215)</f>
        <v>23</v>
      </c>
      <c r="AQ213">
        <f>SUM(AQ214:AQ215)</f>
        <v>29</v>
      </c>
      <c r="AR213">
        <f>SUM(AR214:AR215)</f>
        <v>0</v>
      </c>
      <c r="AS213">
        <f>SUM(AS214:AS215)</f>
        <v>0</v>
      </c>
      <c r="AT213">
        <f>SUM(AT214:AT215)</f>
        <v>0</v>
      </c>
      <c r="AU213">
        <f>SUM(AU214:AU215)</f>
        <v>0</v>
      </c>
      <c r="AV213">
        <f>SUM(AV214:AV215)</f>
        <v>0</v>
      </c>
    </row>
    <row r="214">
      <c r="C214" t="str">
        <v>天水围</v>
      </c>
      <c r="D214" t="str">
        <v>#</v>
      </c>
      <c r="AK214">
        <v>0</v>
      </c>
      <c r="AL214">
        <v>3</v>
      </c>
      <c r="AM214">
        <v>14</v>
      </c>
      <c r="AN214">
        <v>20</v>
      </c>
      <c r="AO214">
        <v>27</v>
      </c>
      <c r="AP214">
        <v>23</v>
      </c>
      <c r="AQ214">
        <v>29</v>
      </c>
    </row>
    <row r="215">
      <c r="C215" t="str">
        <v>新田（25年10月及之前）</v>
      </c>
      <c r="D215" t="str">
        <v>#</v>
      </c>
    </row>
    <row r="216">
      <c r="C216" t="str">
        <v>PICC Product - RN</v>
      </c>
      <c r="D216" t="str">
        <v>#</v>
      </c>
      <c r="F216">
        <f>H216</f>
        <v>0</v>
      </c>
      <c r="H216">
        <f>SUM(Y216:Z216)</f>
        <v>0</v>
      </c>
      <c r="J216">
        <f>W216</f>
        <v>0</v>
      </c>
      <c r="K216">
        <f>Z216</f>
        <v>0</v>
      </c>
      <c r="Q216">
        <f>Q218+Q225</f>
        <v>0</v>
      </c>
      <c r="R216">
        <f>R218+R225</f>
        <v>0</v>
      </c>
      <c r="S216">
        <f>S218+S225</f>
        <v>0</v>
      </c>
      <c r="T216">
        <f>T218+T225</f>
        <v>0</v>
      </c>
      <c r="U216">
        <f>U218+U225</f>
        <v>0</v>
      </c>
      <c r="V216">
        <f>V218+V225</f>
        <v>0</v>
      </c>
      <c r="W216">
        <f>W218+W225</f>
        <v>0</v>
      </c>
      <c r="X216">
        <f>X218+X225</f>
        <v>0</v>
      </c>
      <c r="Y216">
        <f>Y218+Y225</f>
        <v>0</v>
      </c>
      <c r="Z216">
        <f>Z218+Z225</f>
        <v>0</v>
      </c>
      <c r="AA216">
        <f>AA218+AA225</f>
        <v>0</v>
      </c>
      <c r="AB216">
        <f>AB218+AB225</f>
        <v>4</v>
      </c>
      <c r="AC216">
        <f>AC218+AC225</f>
        <v>27</v>
      </c>
      <c r="AD216">
        <f>AD218+AD225</f>
        <v>22</v>
      </c>
      <c r="AE216">
        <f>AE218+AE225</f>
        <v>25</v>
      </c>
      <c r="AF216">
        <f>AF218+AF225</f>
        <v>19</v>
      </c>
      <c r="AG216">
        <f>AG218+AG225</f>
        <v>19</v>
      </c>
      <c r="AH216">
        <f>AH218+AH225</f>
        <v>19</v>
      </c>
      <c r="AI216">
        <f>AI218+AI225</f>
        <v>13</v>
      </c>
      <c r="AJ216">
        <f>AJ218+AJ225</f>
        <v>20</v>
      </c>
      <c r="AK216">
        <f>AK217+AK228</f>
        <v>32</v>
      </c>
      <c r="AL216">
        <f>AL217+AL228</f>
        <v>23</v>
      </c>
      <c r="AM216">
        <f>AM217+AM228</f>
        <v>57</v>
      </c>
      <c r="AN216">
        <f>AN217+AN228</f>
        <v>66</v>
      </c>
      <c r="AO216">
        <f>AO217+AO228</f>
        <v>66</v>
      </c>
      <c r="AP216">
        <f>AP217+AP228</f>
        <v>49</v>
      </c>
      <c r="AQ216">
        <f>AQ217+AQ228</f>
        <v>40</v>
      </c>
      <c r="AR216">
        <f>AR217+AR228</f>
        <v>0</v>
      </c>
      <c r="AS216">
        <f>AS217+AS228</f>
        <v>0</v>
      </c>
      <c r="AT216">
        <f>AT217+AT228</f>
        <v>0</v>
      </c>
      <c r="AU216">
        <f>AU217+AU228</f>
        <v>0</v>
      </c>
      <c r="AV216">
        <f>AV217+AV228</f>
        <v>0</v>
      </c>
    </row>
    <row r="217">
      <c r="C217" t="str">
        <v>一站式产品</v>
      </c>
      <c r="D217" t="str">
        <v>#</v>
      </c>
      <c r="M217">
        <f>M218+M225</f>
        <v>0</v>
      </c>
      <c r="N217">
        <f>N218+N225</f>
        <v>0</v>
      </c>
      <c r="O217">
        <f>O218+O225</f>
        <v>0</v>
      </c>
      <c r="P217">
        <f>P218+P225</f>
        <v>0</v>
      </c>
      <c r="Q217">
        <f>Q218+Q225</f>
        <v>0</v>
      </c>
      <c r="R217">
        <f>R218+R225</f>
        <v>0</v>
      </c>
      <c r="S217">
        <f>S218+S225</f>
        <v>0</v>
      </c>
      <c r="T217">
        <f>T218+T225</f>
        <v>0</v>
      </c>
      <c r="U217">
        <f>U218+U225</f>
        <v>0</v>
      </c>
      <c r="V217">
        <f>V218+V225</f>
        <v>0</v>
      </c>
      <c r="W217">
        <f>W218+W225</f>
        <v>0</v>
      </c>
      <c r="X217">
        <f>X218+X225</f>
        <v>0</v>
      </c>
      <c r="Y217">
        <f>Y218+Y225</f>
        <v>0</v>
      </c>
      <c r="Z217">
        <f>Z218+Z225</f>
        <v>0</v>
      </c>
      <c r="AA217">
        <f>AA218+AA225</f>
        <v>0</v>
      </c>
      <c r="AB217">
        <f>AB218+AB225</f>
        <v>4</v>
      </c>
      <c r="AC217">
        <f>AC218+AC225</f>
        <v>27</v>
      </c>
      <c r="AD217">
        <f>AD218+AD225</f>
        <v>22</v>
      </c>
      <c r="AE217">
        <f>AE218+AE225</f>
        <v>25</v>
      </c>
      <c r="AF217">
        <f>AF218+AF225</f>
        <v>19</v>
      </c>
      <c r="AG217">
        <f>AG218+AG225</f>
        <v>19</v>
      </c>
      <c r="AH217">
        <f>AH218+AH225</f>
        <v>19</v>
      </c>
      <c r="AI217">
        <f>AI218+AI225</f>
        <v>13</v>
      </c>
      <c r="AJ217">
        <f>AJ218+AJ225</f>
        <v>20</v>
      </c>
      <c r="AK217">
        <f>AK218+AK225</f>
        <v>32</v>
      </c>
      <c r="AL217">
        <f>AL218+AL225</f>
        <v>23</v>
      </c>
      <c r="AM217">
        <f>AM218+AM225</f>
        <v>57</v>
      </c>
      <c r="AN217">
        <f>AN218+AN225</f>
        <v>66</v>
      </c>
      <c r="AO217">
        <f>AO218+AO225</f>
        <v>66</v>
      </c>
      <c r="AP217">
        <f>AP218+AP225</f>
        <v>49</v>
      </c>
      <c r="AQ217">
        <f>AQ218+AQ225</f>
        <v>40</v>
      </c>
      <c r="AR217">
        <f>AR218+AR225</f>
        <v>0</v>
      </c>
      <c r="AS217">
        <f>AS218+AS225</f>
        <v>0</v>
      </c>
      <c r="AT217">
        <f>AT218+AT225</f>
        <v>0</v>
      </c>
      <c r="AU217">
        <f>AU218+AU225</f>
        <v>0</v>
      </c>
    </row>
    <row r="218">
      <c r="C218" t="str">
        <v xml:space="preserve"> - Online channel</v>
      </c>
      <c r="D218" t="str">
        <v>#</v>
      </c>
      <c r="Q218">
        <f>SUM(Q219:Q222)</f>
        <v>0</v>
      </c>
      <c r="R218">
        <f>SUM(R219:R222)</f>
        <v>0</v>
      </c>
      <c r="S218">
        <f>SUM(S219:S222)</f>
        <v>0</v>
      </c>
      <c r="T218">
        <f>SUM(T219:T222)</f>
        <v>0</v>
      </c>
      <c r="U218">
        <f>SUM(U219:U222)</f>
        <v>0</v>
      </c>
      <c r="V218">
        <f>SUM(V219:V222)</f>
        <v>0</v>
      </c>
      <c r="W218">
        <f>SUM(W219:W222)</f>
        <v>0</v>
      </c>
      <c r="X218">
        <f>SUM(X219:X222)</f>
        <v>0</v>
      </c>
      <c r="Y218">
        <f>SUM(Y219:Y222)</f>
        <v>0</v>
      </c>
      <c r="Z218">
        <f>SUM(Z219:Z222)</f>
        <v>0</v>
      </c>
      <c r="AA218">
        <f>SUM(AA219:AA222)</f>
        <v>0</v>
      </c>
      <c r="AB218">
        <f>SUM(AB219:AB222)</f>
        <v>3</v>
      </c>
      <c r="AC218">
        <f>SUM(AC219:AC222)</f>
        <v>20</v>
      </c>
      <c r="AD218">
        <f>SUM(AD219:AD222)</f>
        <v>16</v>
      </c>
      <c r="AE218">
        <f>SUM(AE219:AE222)</f>
        <v>18</v>
      </c>
      <c r="AF218">
        <f>SUM(AF219:AF222)</f>
        <v>13</v>
      </c>
      <c r="AG218">
        <f>SUM(AG219:AG222)</f>
        <v>13</v>
      </c>
      <c r="AH218">
        <f>SUM(AH219:AH222)</f>
        <v>13</v>
      </c>
      <c r="AI218">
        <f>SUM(AI219:AI222)</f>
        <v>10</v>
      </c>
      <c r="AJ218">
        <f>SUM(AJ219:AJ222)</f>
        <v>16</v>
      </c>
      <c r="AK218">
        <f>SUM(AK219:AK224)</f>
        <v>20</v>
      </c>
      <c r="AL218">
        <f>SUM(AL219:AL224)</f>
        <v>12</v>
      </c>
      <c r="AM218">
        <f>SUM(AM219:AM224)</f>
        <v>26</v>
      </c>
      <c r="AN218">
        <f>SUM(AN219:AN224)</f>
        <v>33</v>
      </c>
      <c r="AO218">
        <f>SUM(AO219:AO224)</f>
        <v>41</v>
      </c>
      <c r="AP218">
        <f>SUM(AP219:AP224)</f>
        <v>31</v>
      </c>
      <c r="AQ218">
        <f>SUM(AQ219:AQ224)</f>
        <v>26</v>
      </c>
      <c r="AR218">
        <f>SUM(AR219:AR224)</f>
        <v>0</v>
      </c>
      <c r="AS218">
        <f>SUM(AS219:AS224)</f>
        <v>0</v>
      </c>
      <c r="AT218">
        <f>SUM(AT219:AT224)</f>
        <v>0</v>
      </c>
      <c r="AU218">
        <f>SUM(AU219:AU224)</f>
        <v>0</v>
      </c>
    </row>
    <row r="219">
      <c r="C219" t="str">
        <v>官网</v>
      </c>
      <c r="D219" t="str">
        <v>#</v>
      </c>
      <c r="AB219">
        <v>1</v>
      </c>
      <c r="AC219">
        <v>7</v>
      </c>
      <c r="AD219">
        <v>6</v>
      </c>
      <c r="AE219">
        <v>7</v>
      </c>
      <c r="AF219">
        <v>5</v>
      </c>
      <c r="AG219">
        <v>5</v>
      </c>
      <c r="AH219">
        <v>5</v>
      </c>
      <c r="AI219">
        <v>4</v>
      </c>
      <c r="AJ219">
        <v>6</v>
      </c>
      <c r="AK219">
        <v>5</v>
      </c>
      <c r="AL219">
        <v>3</v>
      </c>
      <c r="AM219">
        <v>6</v>
      </c>
      <c r="AN219">
        <v>8</v>
      </c>
      <c r="AO219">
        <v>9</v>
      </c>
      <c r="AP219">
        <v>7</v>
      </c>
      <c r="AQ219">
        <v>6</v>
      </c>
    </row>
    <row r="220">
      <c r="C220" t="str">
        <v>谷歌SEM</v>
      </c>
      <c r="D220" t="str">
        <v>#</v>
      </c>
      <c r="AB220">
        <v>1</v>
      </c>
      <c r="AC220">
        <v>6</v>
      </c>
      <c r="AD220">
        <v>5</v>
      </c>
      <c r="AE220">
        <v>5</v>
      </c>
      <c r="AF220">
        <v>4</v>
      </c>
      <c r="AG220">
        <v>4</v>
      </c>
      <c r="AH220">
        <v>4</v>
      </c>
      <c r="AI220">
        <v>3</v>
      </c>
      <c r="AJ220">
        <v>5</v>
      </c>
      <c r="AK220">
        <v>4</v>
      </c>
      <c r="AL220">
        <v>2</v>
      </c>
      <c r="AM220">
        <v>5</v>
      </c>
      <c r="AN220">
        <v>6</v>
      </c>
      <c r="AO220">
        <v>8</v>
      </c>
      <c r="AP220">
        <v>6</v>
      </c>
      <c r="AQ220">
        <v>5</v>
      </c>
    </row>
    <row r="221">
      <c r="C221" t="str">
        <v>验车网站</v>
      </c>
      <c r="D221" t="str">
        <v>#</v>
      </c>
      <c r="AB221">
        <v>1</v>
      </c>
      <c r="AC221">
        <v>6</v>
      </c>
      <c r="AD221">
        <v>5</v>
      </c>
      <c r="AE221">
        <v>5</v>
      </c>
      <c r="AF221">
        <v>4</v>
      </c>
      <c r="AG221">
        <v>4</v>
      </c>
      <c r="AH221">
        <v>4</v>
      </c>
      <c r="AI221">
        <v>3</v>
      </c>
      <c r="AJ221">
        <v>5</v>
      </c>
      <c r="AK221">
        <v>4</v>
      </c>
      <c r="AL221">
        <v>2</v>
      </c>
      <c r="AM221">
        <v>5</v>
      </c>
      <c r="AN221">
        <v>6</v>
      </c>
      <c r="AO221">
        <v>8</v>
      </c>
      <c r="AP221">
        <v>6</v>
      </c>
      <c r="AQ221">
        <v>5</v>
      </c>
    </row>
    <row r="222">
      <c r="C222" t="str">
        <v>Facebook</v>
      </c>
      <c r="D222" t="str">
        <v>#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1</v>
      </c>
      <c r="AO222">
        <v>1</v>
      </c>
      <c r="AP222">
        <v>1</v>
      </c>
      <c r="AQ222">
        <v>0</v>
      </c>
    </row>
    <row r="223">
      <c r="C223" t="str">
        <v>新田（25年11月及之后，如有）</v>
      </c>
      <c r="D223" t="str">
        <v>#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1</v>
      </c>
      <c r="AJ223">
        <v>2</v>
      </c>
      <c r="AK223">
        <v>1</v>
      </c>
      <c r="AL223">
        <v>1</v>
      </c>
      <c r="AM223">
        <v>2</v>
      </c>
      <c r="AN223">
        <v>2</v>
      </c>
      <c r="AO223">
        <v>3</v>
      </c>
      <c r="AP223">
        <v>2</v>
      </c>
      <c r="AQ223">
        <v>2</v>
      </c>
    </row>
    <row r="224">
      <c r="C224" t="str">
        <v>电邮</v>
      </c>
      <c r="AB224">
        <v>2</v>
      </c>
      <c r="AC224">
        <v>10</v>
      </c>
      <c r="AD224">
        <v>8</v>
      </c>
      <c r="AE224">
        <v>9</v>
      </c>
      <c r="AF224">
        <v>7</v>
      </c>
      <c r="AG224">
        <v>7</v>
      </c>
      <c r="AH224">
        <v>7</v>
      </c>
      <c r="AI224">
        <v>5</v>
      </c>
      <c r="AJ224">
        <v>7</v>
      </c>
      <c r="AK224">
        <v>6</v>
      </c>
      <c r="AL224">
        <v>4</v>
      </c>
      <c r="AM224">
        <v>8</v>
      </c>
      <c r="AN224">
        <v>10</v>
      </c>
      <c r="AO224">
        <v>12</v>
      </c>
      <c r="AP224">
        <v>9</v>
      </c>
      <c r="AQ224">
        <v>8</v>
      </c>
    </row>
    <row r="225">
      <c r="C225" t="str">
        <v xml:space="preserve"> - CTG channel</v>
      </c>
      <c r="D225" t="str">
        <v>#</v>
      </c>
      <c r="Q225">
        <f>SUM(Q226:Q227)</f>
        <v>0</v>
      </c>
      <c r="R225">
        <f>SUM(R226:R227)</f>
        <v>0</v>
      </c>
      <c r="S225">
        <f>SUM(S226:S227)</f>
        <v>0</v>
      </c>
      <c r="T225">
        <f>SUM(T226:T227)</f>
        <v>0</v>
      </c>
      <c r="U225">
        <f>SUM(U226:U227)</f>
        <v>0</v>
      </c>
      <c r="V225">
        <f>SUM(V226:V227)</f>
        <v>0</v>
      </c>
      <c r="W225">
        <f>SUM(W226:W227)</f>
        <v>0</v>
      </c>
      <c r="X225">
        <f>SUM(X226:X227)</f>
        <v>0</v>
      </c>
      <c r="Y225">
        <f>SUM(Y226:Y227)</f>
        <v>0</v>
      </c>
      <c r="Z225">
        <f>SUM(Z226:Z227)</f>
        <v>0</v>
      </c>
      <c r="AA225">
        <f>SUM(AA226:AA227)</f>
        <v>0</v>
      </c>
      <c r="AB225">
        <f>SUM(AB226:AB227)</f>
        <v>1</v>
      </c>
      <c r="AC225">
        <f>SUM(AC226:AC227)</f>
        <v>7</v>
      </c>
      <c r="AD225">
        <f>SUM(AD226:AD227)</f>
        <v>6</v>
      </c>
      <c r="AE225">
        <f>SUM(AE226:AE227)</f>
        <v>7</v>
      </c>
      <c r="AF225">
        <f>SUM(AF226:AF227)</f>
        <v>6</v>
      </c>
      <c r="AG225">
        <f>SUM(AG226:AG227)</f>
        <v>6</v>
      </c>
      <c r="AH225">
        <f>SUM(AH226:AH227)</f>
        <v>6</v>
      </c>
      <c r="AI225">
        <f>SUM(AI226:AI227)</f>
        <v>3</v>
      </c>
      <c r="AJ225">
        <f>SUM(AJ226:AJ227)</f>
        <v>4</v>
      </c>
      <c r="AK225">
        <f>SUM(AK226:AK227)</f>
        <v>12</v>
      </c>
      <c r="AL225">
        <f>SUM(AL226:AL227)</f>
        <v>11</v>
      </c>
      <c r="AM225">
        <f>SUM(AM226:AM227)</f>
        <v>31</v>
      </c>
      <c r="AN225">
        <f>SUM(AN226:AN227)</f>
        <v>33</v>
      </c>
      <c r="AO225">
        <f>SUM(AO226:AO227)</f>
        <v>25</v>
      </c>
      <c r="AP225">
        <f>SUM(AP226:AP227)</f>
        <v>18</v>
      </c>
      <c r="AQ225">
        <f>SUM(AQ226:AQ227)</f>
        <v>14</v>
      </c>
      <c r="AR225">
        <f>SUM(AR226:AR227)</f>
        <v>0</v>
      </c>
      <c r="AS225">
        <f>SUM(AS226:AS227)</f>
        <v>0</v>
      </c>
      <c r="AT225">
        <f>SUM(AT226:AT227)</f>
        <v>0</v>
      </c>
      <c r="AU225">
        <f>SUM(AU226:AU227)</f>
        <v>0</v>
      </c>
      <c r="AV225">
        <f>SUM(AV226:AV227)</f>
        <v>0</v>
      </c>
      <c r="AW225">
        <f>SUM(AW226:AW227)</f>
        <v>0</v>
      </c>
      <c r="AX225">
        <f>SUM(AX226:AX227)</f>
        <v>0</v>
      </c>
    </row>
    <row r="226">
      <c r="C226" t="str">
        <v>天水围</v>
      </c>
      <c r="D226" t="str">
        <v>#</v>
      </c>
      <c r="AB226">
        <v>1</v>
      </c>
      <c r="AC226">
        <v>5</v>
      </c>
      <c r="AD226">
        <v>4</v>
      </c>
      <c r="AE226">
        <v>5</v>
      </c>
      <c r="AF226">
        <v>4</v>
      </c>
      <c r="AG226">
        <v>4</v>
      </c>
      <c r="AH226">
        <v>4</v>
      </c>
      <c r="AI226">
        <v>3</v>
      </c>
      <c r="AJ226">
        <v>4</v>
      </c>
      <c r="AK226">
        <v>12</v>
      </c>
      <c r="AL226">
        <v>11</v>
      </c>
      <c r="AM226">
        <v>31</v>
      </c>
      <c r="AN226">
        <v>33</v>
      </c>
      <c r="AO226">
        <v>25</v>
      </c>
      <c r="AP226">
        <v>18</v>
      </c>
      <c r="AQ226">
        <v>14</v>
      </c>
    </row>
    <row r="227">
      <c r="C227" t="str">
        <v>新田（25年10月及之前）</v>
      </c>
      <c r="D227" t="str">
        <v>#</v>
      </c>
      <c r="AB227">
        <v>0</v>
      </c>
      <c r="AC227">
        <v>2</v>
      </c>
      <c r="AD227">
        <v>2</v>
      </c>
      <c r="AE227">
        <v>2</v>
      </c>
      <c r="AF227">
        <v>2</v>
      </c>
      <c r="AG227">
        <v>2</v>
      </c>
      <c r="AH227">
        <v>2</v>
      </c>
    </row>
    <row r="228">
      <c r="C228" t="str">
        <v>等效先认产品</v>
      </c>
      <c r="D228" t="str">
        <v>#</v>
      </c>
      <c r="T228">
        <f>T229+T236</f>
        <v>0</v>
      </c>
      <c r="U228">
        <f>U229+U236</f>
        <v>0</v>
      </c>
      <c r="V228">
        <f>V229+V236</f>
        <v>0</v>
      </c>
      <c r="W228">
        <f>W229+W236</f>
        <v>0</v>
      </c>
      <c r="X228">
        <f>X229+X236</f>
        <v>0</v>
      </c>
      <c r="Y228">
        <f>Y229+Y236</f>
        <v>0</v>
      </c>
      <c r="Z228">
        <f>Z229+Z236</f>
        <v>0</v>
      </c>
      <c r="AA228">
        <f>AA229+AA236</f>
        <v>0</v>
      </c>
      <c r="AB228">
        <f>AB229+AB236</f>
        <v>0</v>
      </c>
      <c r="AC228">
        <f>AC229+AC236</f>
        <v>0</v>
      </c>
      <c r="AD228">
        <f>AD229+AD236</f>
        <v>0</v>
      </c>
      <c r="AE228">
        <f>AE229+AE236</f>
        <v>0</v>
      </c>
      <c r="AF228">
        <f>AF229+AF236</f>
        <v>0</v>
      </c>
      <c r="AG228">
        <f>AG229+AG236</f>
        <v>0</v>
      </c>
      <c r="AH228">
        <f>AH229+AH236</f>
        <v>0</v>
      </c>
      <c r="AI228">
        <f>AI229+AI236</f>
        <v>0</v>
      </c>
      <c r="AJ228">
        <f>AJ229+AJ236</f>
        <v>0</v>
      </c>
      <c r="AK228">
        <f>AK229+AK236</f>
        <v>0</v>
      </c>
      <c r="AL228">
        <f>AL229+AL236</f>
        <v>0</v>
      </c>
      <c r="AM228">
        <f>AM229+AM236</f>
        <v>0</v>
      </c>
      <c r="AN228">
        <f>AN229+AN236</f>
        <v>0</v>
      </c>
      <c r="AO228">
        <f>AO229+AO236</f>
        <v>0</v>
      </c>
      <c r="AP228">
        <f>AP229+AP236</f>
        <v>0</v>
      </c>
      <c r="AQ228">
        <f>AQ229+AQ236</f>
        <v>0</v>
      </c>
      <c r="AR228">
        <f>AR229+AR236</f>
        <v>0</v>
      </c>
      <c r="AS228">
        <f>AS229+AS236</f>
        <v>0</v>
      </c>
      <c r="AT228">
        <f>AT229+AT236</f>
        <v>0</v>
      </c>
      <c r="AU228">
        <f>AU229+AU236</f>
        <v>0</v>
      </c>
    </row>
    <row r="229">
      <c r="C229" t="str">
        <v xml:space="preserve"> - Online channel</v>
      </c>
      <c r="D229" t="str">
        <v>#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f>SUM(AK230:AK235)</f>
        <v>0</v>
      </c>
      <c r="AL229">
        <f>SUM(AL230:AL235)</f>
        <v>0</v>
      </c>
      <c r="AM229">
        <f>SUM(AM230:AM235)</f>
        <v>0</v>
      </c>
      <c r="AN229">
        <f>SUM(AN230:AN235)</f>
        <v>0</v>
      </c>
      <c r="AO229">
        <f>SUM(AO230:AO235)</f>
        <v>0</v>
      </c>
      <c r="AP229">
        <f>SUM(AP230:AP235)</f>
        <v>0</v>
      </c>
      <c r="AQ229">
        <f>SUM(AQ230:AQ235)</f>
        <v>0</v>
      </c>
      <c r="AR229">
        <f>SUM(AR230:AR235)</f>
        <v>0</v>
      </c>
      <c r="AS229">
        <f>SUM(AS230:AS235)</f>
        <v>0</v>
      </c>
      <c r="AT229">
        <f>SUM(AT230:AT235)</f>
        <v>0</v>
      </c>
      <c r="AU229">
        <f>SUM(AU230:AU235)</f>
        <v>0</v>
      </c>
    </row>
    <row r="230">
      <c r="C230" t="str">
        <v>官网</v>
      </c>
      <c r="D230" t="str">
        <v>#</v>
      </c>
    </row>
    <row r="231">
      <c r="C231" t="str">
        <v>谷歌SEM</v>
      </c>
      <c r="D231" t="str">
        <v>#</v>
      </c>
    </row>
    <row r="232">
      <c r="C232" t="str">
        <v>验车网站</v>
      </c>
      <c r="D232" t="str">
        <v>#</v>
      </c>
    </row>
    <row r="233">
      <c r="C233" t="str">
        <v>Facebook</v>
      </c>
      <c r="D233" t="str">
        <v>#</v>
      </c>
    </row>
    <row r="234">
      <c r="C234" t="str">
        <v>新田（25年11月及之后，如有）</v>
      </c>
      <c r="D234" t="str">
        <v>#</v>
      </c>
    </row>
    <row r="235">
      <c r="C235" t="str">
        <v>电邮</v>
      </c>
    </row>
    <row r="236">
      <c r="C236" t="str">
        <v xml:space="preserve"> - CTG channel</v>
      </c>
      <c r="D236" t="str">
        <v>#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f>SUM(AK237:AK238)</f>
        <v>0</v>
      </c>
      <c r="AL236">
        <f>SUM(AL237:AL238)</f>
        <v>0</v>
      </c>
      <c r="AM236">
        <f>SUM(AM237:AM238)</f>
        <v>0</v>
      </c>
      <c r="AN236">
        <f>SUM(AN237:AN238)</f>
        <v>0</v>
      </c>
      <c r="AO236">
        <f>SUM(AO237:AO238)</f>
        <v>0</v>
      </c>
      <c r="AP236">
        <f>SUM(AP237:AP238)</f>
        <v>0</v>
      </c>
      <c r="AQ236">
        <f>SUM(AQ237:AQ238)</f>
        <v>0</v>
      </c>
      <c r="AR236">
        <f>SUM(AR237:AR238)</f>
        <v>0</v>
      </c>
      <c r="AS236">
        <f>SUM(AS237:AS238)</f>
        <v>0</v>
      </c>
      <c r="AT236">
        <f>SUM(AT237:AT238)</f>
        <v>0</v>
      </c>
      <c r="AU236">
        <f>SUM(AU237:AU238)</f>
        <v>0</v>
      </c>
      <c r="AV236">
        <f>SUM(AV237:AV238)</f>
        <v>0</v>
      </c>
    </row>
    <row r="237">
      <c r="C237" t="str">
        <v>天水围</v>
      </c>
      <c r="D237" t="str">
        <v>#</v>
      </c>
    </row>
    <row r="238">
      <c r="C238" t="str">
        <v>新田（25年10月及之前）</v>
      </c>
      <c r="D238" t="str">
        <v>#</v>
      </c>
    </row>
    <row r="239">
      <c r="C239" t="str">
        <v>等效先認Online</v>
      </c>
      <c r="D239" t="str">
        <v>#</v>
      </c>
      <c r="AK239">
        <f>AK159+AK206</f>
        <v>1</v>
      </c>
      <c r="AL239">
        <f>AL159+AL206</f>
        <v>13</v>
      </c>
    </row>
    <row r="240">
      <c r="C240" t="str">
        <v>等效先認Offline</v>
      </c>
      <c r="D240" t="str">
        <v>#</v>
      </c>
      <c r="AK240">
        <f>AK166+AK213</f>
        <v>0</v>
      </c>
      <c r="AL240">
        <f>AL166+AL213</f>
        <v>3</v>
      </c>
    </row>
    <row r="241">
      <c r="C241" t="str">
        <v>一站式Online</v>
      </c>
      <c r="D241" t="str">
        <v>#</v>
      </c>
      <c r="AK241">
        <f>AK148+AK195</f>
        <v>14</v>
      </c>
      <c r="AL241">
        <f>AL148+AL195</f>
        <v>1</v>
      </c>
    </row>
    <row r="242">
      <c r="C242" t="str">
        <v>一站式Offline</v>
      </c>
      <c r="D242" t="str">
        <v>#</v>
      </c>
      <c r="AK242">
        <f>AK155+AK202</f>
        <v>46</v>
      </c>
      <c r="AL242">
        <f>AL155+AL202</f>
        <v>43</v>
      </c>
    </row>
    <row r="243">
      <c r="C243" t="str">
        <v>等效先認Taiping Redirect</v>
      </c>
      <c r="D243" t="str">
        <v>#</v>
      </c>
      <c r="AF243">
        <v>0</v>
      </c>
      <c r="AG243">
        <v>1</v>
      </c>
      <c r="AH243">
        <v>0</v>
      </c>
      <c r="AI243">
        <v>1</v>
      </c>
      <c r="AJ243">
        <v>1</v>
      </c>
      <c r="AK243">
        <v>0</v>
      </c>
      <c r="AL243">
        <v>0</v>
      </c>
    </row>
    <row r="244">
      <c r="C244" t="str">
        <v>Taiping Renewal</v>
      </c>
      <c r="D244" t="str">
        <v>#</v>
      </c>
      <c r="V244">
        <v>8</v>
      </c>
      <c r="W244">
        <v>4</v>
      </c>
      <c r="X244">
        <f>45+15</f>
        <v>60</v>
      </c>
      <c r="Y244">
        <v>12</v>
      </c>
      <c r="Z244">
        <v>9</v>
      </c>
      <c r="AA244">
        <v>6</v>
      </c>
      <c r="AB244">
        <v>3</v>
      </c>
      <c r="AC244">
        <v>3</v>
      </c>
      <c r="AD244">
        <v>2</v>
      </c>
      <c r="AE244">
        <v>8</v>
      </c>
      <c r="AF244">
        <v>10</v>
      </c>
      <c r="AG244">
        <v>5</v>
      </c>
      <c r="AH244">
        <v>7</v>
      </c>
      <c r="AI244">
        <v>13</v>
      </c>
      <c r="AJ244">
        <v>18</v>
      </c>
      <c r="AK244">
        <v>18</v>
      </c>
      <c r="AL244">
        <v>9</v>
      </c>
      <c r="AM244">
        <v>10</v>
      </c>
      <c r="AN244">
        <v>7</v>
      </c>
      <c r="AO244">
        <v>6</v>
      </c>
      <c r="AP244">
        <v>9</v>
      </c>
      <c r="AQ244">
        <v>6</v>
      </c>
    </row>
    <row r="245">
      <c r="C245" t="str">
        <v>PICC Website Renewal</v>
      </c>
      <c r="D245" t="str">
        <v>#</v>
      </c>
      <c r="AB245">
        <v>6</v>
      </c>
      <c r="AC245">
        <v>37</v>
      </c>
      <c r="AD245">
        <v>30</v>
      </c>
      <c r="AE245">
        <v>33</v>
      </c>
      <c r="AF245">
        <f>132</f>
        <v>132</v>
      </c>
      <c r="AG245">
        <v>26</v>
      </c>
      <c r="AH245">
        <v>27</v>
      </c>
      <c r="AI245">
        <v>20</v>
      </c>
      <c r="AJ245">
        <v>28</v>
      </c>
      <c r="AK245">
        <v>25</v>
      </c>
      <c r="AL245">
        <v>15</v>
      </c>
      <c r="AM245">
        <v>29</v>
      </c>
      <c r="AN245">
        <v>39</v>
      </c>
      <c r="AO245">
        <v>47</v>
      </c>
      <c r="AP245">
        <v>35</v>
      </c>
      <c r="AQ245">
        <v>30</v>
      </c>
    </row>
    <row r="246">
      <c r="C246" t="str">
        <v>PICC Offline Renewal</v>
      </c>
      <c r="AK246">
        <f>AK114/(AK113/AK245)</f>
        <v>9.159431188897244</v>
      </c>
      <c r="AL246">
        <f>AL114/(AL113/AL245)</f>
        <v>8.530272247054043</v>
      </c>
      <c r="AM246">
        <f>AM114/(AM113/AM245)</f>
        <v>26.8361060780761</v>
      </c>
      <c r="AN246">
        <f>AN114/(AN113/AN245)</f>
        <v>27.69467156383234</v>
      </c>
      <c r="AO246">
        <f>AO114/(AO113/AO245)</f>
        <v>18.15389398983063</v>
      </c>
      <c r="AP246">
        <f>AP114/(AP113/AP245)</f>
        <v>12.787920671145255</v>
      </c>
      <c r="AQ246">
        <f>AQ114/(AQ113/AQ245)</f>
        <v>9.983083016999505</v>
      </c>
    </row>
    <row r="248">
      <c r="C248" t="str">
        <v>Product Type-NB Overall</v>
      </c>
      <c r="M248">
        <f>SUM(M249:M272)</f>
        <v>22</v>
      </c>
      <c r="N248">
        <f>SUM(N249:N272)</f>
        <v>25</v>
      </c>
      <c r="O248">
        <f>SUM(O249:O272)</f>
        <v>35</v>
      </c>
      <c r="P248">
        <f>SUM(P249:P272)</f>
        <v>20</v>
      </c>
      <c r="Q248">
        <f>SUM(Q249:Q272)</f>
        <v>53</v>
      </c>
      <c r="R248">
        <f>SUM(R249:R272)</f>
        <v>66</v>
      </c>
      <c r="S248">
        <f>SUM(S249:S272)</f>
        <v>79</v>
      </c>
      <c r="T248">
        <f>SUM(T249:T272)</f>
        <v>83</v>
      </c>
      <c r="U248">
        <f>SUM(U249:U272)</f>
        <v>78</v>
      </c>
      <c r="V248">
        <f>SUM(V249:V272)</f>
        <v>70</v>
      </c>
      <c r="W248">
        <f>SUM(W249:W272)</f>
        <v>78</v>
      </c>
      <c r="X248">
        <f>SUM(X249:X272)</f>
        <v>64</v>
      </c>
      <c r="Y248">
        <f>SUM(Y249:Y272)</f>
        <v>84</v>
      </c>
      <c r="Z248">
        <f>SUM(Z249:Z272)</f>
        <v>87</v>
      </c>
      <c r="AA248">
        <f>SUM(AA249:AA272)</f>
        <v>86</v>
      </c>
      <c r="AB248">
        <f>SUM(AB249:AB272)</f>
        <v>57</v>
      </c>
      <c r="AC248">
        <f>SUM(AC249:AC272)</f>
        <v>51</v>
      </c>
      <c r="AD248">
        <f>SUM(AD249:AD272)</f>
        <v>58</v>
      </c>
      <c r="AE248">
        <f>SUM(AE249:AE272)</f>
        <v>25</v>
      </c>
      <c r="AF248">
        <f>SUM(AF249:AF272)</f>
        <v>47</v>
      </c>
      <c r="AG248">
        <f>SUM(AG249:AG272)</f>
        <v>29</v>
      </c>
      <c r="AH248">
        <f>SUM(AH249:AH272)</f>
        <v>55</v>
      </c>
      <c r="AI248">
        <f>SUM(AI249:AI272)</f>
        <v>60</v>
      </c>
      <c r="AJ248">
        <f>SUM(AJ249:AJ272)</f>
        <v>57</v>
      </c>
      <c r="AK248">
        <f>SUM(AK249:AK272)</f>
        <v>60</v>
      </c>
      <c r="AL248">
        <f>SUM(AL249:AL272)</f>
        <v>62</v>
      </c>
      <c r="AM248">
        <f>SUM(AM249:AM272)</f>
        <v>87</v>
      </c>
      <c r="AN248">
        <f>SUM(AN249:AN272)</f>
        <v>80</v>
      </c>
      <c r="AO248">
        <f>SUM(AO249:AO272)</f>
        <v>91</v>
      </c>
      <c r="AP248">
        <f>SUM(AP249:AP272)</f>
        <v>89</v>
      </c>
      <c r="AQ248">
        <f>SUM(AQ249:AQ272)</f>
        <v>89</v>
      </c>
    </row>
    <row r="249">
      <c r="C249" t="str">
        <v>交强险(旧一站式、一站式、等效先认)</v>
      </c>
      <c r="M249">
        <v>5</v>
      </c>
      <c r="N249">
        <v>5</v>
      </c>
      <c r="O249">
        <v>8</v>
      </c>
      <c r="P249">
        <v>4</v>
      </c>
      <c r="Q249">
        <v>2</v>
      </c>
      <c r="R249">
        <v>2</v>
      </c>
      <c r="S249">
        <v>1</v>
      </c>
      <c r="T249">
        <v>3</v>
      </c>
      <c r="U249">
        <v>5</v>
      </c>
      <c r="V249">
        <v>4</v>
      </c>
      <c r="W249">
        <v>4</v>
      </c>
      <c r="X249">
        <v>3</v>
      </c>
      <c r="Y249">
        <v>5</v>
      </c>
      <c r="Z249">
        <v>3</v>
      </c>
      <c r="AA249">
        <v>4</v>
      </c>
      <c r="AB249">
        <v>3</v>
      </c>
      <c r="AC249">
        <v>2</v>
      </c>
      <c r="AD249">
        <v>3</v>
      </c>
      <c r="AE249">
        <v>2</v>
      </c>
      <c r="AF249">
        <v>2</v>
      </c>
      <c r="AG249">
        <v>2</v>
      </c>
      <c r="AH249">
        <v>2</v>
      </c>
      <c r="AI249">
        <v>2</v>
      </c>
      <c r="AJ249">
        <v>2</v>
      </c>
      <c r="AK249">
        <v>2</v>
      </c>
      <c r="AL249">
        <v>1</v>
      </c>
      <c r="AM249">
        <v>3</v>
      </c>
      <c r="AN249">
        <v>3</v>
      </c>
      <c r="AO249">
        <v>4</v>
      </c>
      <c r="AP249">
        <v>4</v>
      </c>
      <c r="AQ249">
        <v>4</v>
      </c>
    </row>
    <row r="250">
      <c r="C250" t="str">
        <v>交强险、商业险¥150万(一站式)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</row>
    <row r="251">
      <c r="C251" t="str">
        <v>交强险、商业险¥150万、座位险¥3万(旧一站式、一站式)</v>
      </c>
      <c r="M251">
        <v>9</v>
      </c>
      <c r="N251">
        <v>10</v>
      </c>
      <c r="O251">
        <v>14</v>
      </c>
      <c r="P251">
        <v>8</v>
      </c>
      <c r="Q251">
        <v>24</v>
      </c>
      <c r="R251">
        <v>30</v>
      </c>
      <c r="S251">
        <v>37</v>
      </c>
      <c r="T251">
        <v>38</v>
      </c>
      <c r="U251">
        <v>35</v>
      </c>
      <c r="V251">
        <v>31</v>
      </c>
      <c r="W251">
        <v>35</v>
      </c>
      <c r="X251">
        <v>29</v>
      </c>
      <c r="Y251">
        <v>34</v>
      </c>
      <c r="Z251">
        <v>41</v>
      </c>
      <c r="AA251">
        <v>41</v>
      </c>
      <c r="AB251">
        <v>24</v>
      </c>
      <c r="AC251">
        <v>25</v>
      </c>
      <c r="AD251">
        <v>26</v>
      </c>
      <c r="AE251">
        <v>12</v>
      </c>
      <c r="AF251">
        <v>21</v>
      </c>
      <c r="AG251">
        <v>12</v>
      </c>
      <c r="AH251">
        <v>25</v>
      </c>
      <c r="AI251">
        <v>27</v>
      </c>
      <c r="AJ251">
        <v>26</v>
      </c>
      <c r="AK251">
        <v>14</v>
      </c>
      <c r="AL251">
        <v>9</v>
      </c>
      <c r="AM251">
        <v>10</v>
      </c>
      <c r="AN251">
        <v>7</v>
      </c>
      <c r="AO251">
        <v>6</v>
      </c>
      <c r="AP251">
        <v>7</v>
      </c>
      <c r="AQ251">
        <v>5</v>
      </c>
    </row>
    <row r="252">
      <c r="C252" t="str">
        <v>交强险、商业险¥150万、座位险¥5万(一站式)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</row>
    <row r="253">
      <c r="C253" t="str">
        <v>交强险、商业险¥150万、座位险¥10万(一站式)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</row>
    <row r="254">
      <c r="C254" t="str">
        <v>交强险、商业险¥200万(一站式)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</row>
    <row r="255">
      <c r="C255" t="str">
        <v>交强险、商业险¥200万、座位险¥3万(一站式)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3</v>
      </c>
      <c r="AM255">
        <v>7</v>
      </c>
      <c r="AN255">
        <v>9</v>
      </c>
      <c r="AO255">
        <v>12</v>
      </c>
      <c r="AP255">
        <v>11</v>
      </c>
      <c r="AQ255">
        <v>13</v>
      </c>
    </row>
    <row r="256">
      <c r="C256" t="str">
        <v>交强险、商业险¥200万、座位险¥5万(旧一站式、一站式)</v>
      </c>
      <c r="M256">
        <v>5</v>
      </c>
      <c r="N256">
        <v>6</v>
      </c>
      <c r="O256">
        <v>8</v>
      </c>
      <c r="P256">
        <v>5</v>
      </c>
      <c r="Q256">
        <v>21</v>
      </c>
      <c r="R256">
        <v>26</v>
      </c>
      <c r="S256">
        <v>32</v>
      </c>
      <c r="T256">
        <v>32</v>
      </c>
      <c r="U256">
        <v>28</v>
      </c>
      <c r="V256">
        <v>26</v>
      </c>
      <c r="W256">
        <v>29</v>
      </c>
      <c r="X256">
        <v>24</v>
      </c>
      <c r="Y256">
        <v>34</v>
      </c>
      <c r="Z256">
        <v>33</v>
      </c>
      <c r="AA256">
        <v>31</v>
      </c>
      <c r="AB256">
        <v>22</v>
      </c>
      <c r="AC256">
        <v>19</v>
      </c>
      <c r="AD256">
        <v>23</v>
      </c>
      <c r="AE256">
        <v>7</v>
      </c>
      <c r="AF256">
        <v>18</v>
      </c>
      <c r="AG256">
        <v>10</v>
      </c>
      <c r="AH256">
        <v>21</v>
      </c>
      <c r="AI256">
        <v>24</v>
      </c>
      <c r="AJ256">
        <v>22</v>
      </c>
      <c r="AK256">
        <v>25</v>
      </c>
      <c r="AL256">
        <v>20</v>
      </c>
      <c r="AM256">
        <v>22</v>
      </c>
      <c r="AN256">
        <v>15</v>
      </c>
      <c r="AO256">
        <v>13</v>
      </c>
      <c r="AP256">
        <v>15</v>
      </c>
      <c r="AQ256">
        <v>10</v>
      </c>
    </row>
    <row r="257">
      <c r="C257" t="str">
        <v>交强险、商业险¥200万、座位险¥10万(一站式)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</row>
    <row r="258">
      <c r="C258" t="str">
        <v>交强险、商业险¥300万(一站式)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</row>
    <row r="259">
      <c r="C259" t="str">
        <v>交强险、商业险¥300万、座位险¥1万 (等效先认)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1</v>
      </c>
      <c r="AL259">
        <v>13</v>
      </c>
      <c r="AM259">
        <v>27</v>
      </c>
      <c r="AN259">
        <v>33</v>
      </c>
      <c r="AO259">
        <v>43</v>
      </c>
      <c r="AP259">
        <v>39</v>
      </c>
      <c r="AQ259">
        <v>46</v>
      </c>
    </row>
    <row r="260">
      <c r="C260" t="str">
        <v>交强险、商业险¥300万、座位险¥3万 (一站式)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</row>
    <row r="261">
      <c r="C261" t="str">
        <v>交强险、商业险¥300万、座位险¥5万 (一站式)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13</v>
      </c>
      <c r="AL261">
        <v>12</v>
      </c>
      <c r="AM261">
        <v>13</v>
      </c>
      <c r="AN261">
        <v>9</v>
      </c>
      <c r="AO261">
        <v>8</v>
      </c>
      <c r="AP261">
        <v>9</v>
      </c>
      <c r="AQ261">
        <v>6</v>
      </c>
    </row>
    <row r="262">
      <c r="C262" t="str">
        <v>交强险、商业险¥300万、座位险¥10万(旧一站式、一站式)</v>
      </c>
      <c r="M262">
        <v>3</v>
      </c>
      <c r="N262">
        <v>4</v>
      </c>
      <c r="O262">
        <v>5</v>
      </c>
      <c r="P262">
        <v>3</v>
      </c>
      <c r="Q262">
        <v>6</v>
      </c>
      <c r="R262">
        <v>8</v>
      </c>
      <c r="S262">
        <v>9</v>
      </c>
      <c r="T262">
        <v>10</v>
      </c>
      <c r="U262">
        <v>10</v>
      </c>
      <c r="V262">
        <v>9</v>
      </c>
      <c r="W262">
        <v>10</v>
      </c>
      <c r="X262">
        <v>8</v>
      </c>
      <c r="Y262">
        <v>11</v>
      </c>
      <c r="Z262">
        <v>10</v>
      </c>
      <c r="AA262">
        <v>10</v>
      </c>
      <c r="AB262">
        <v>8</v>
      </c>
      <c r="AC262">
        <v>5</v>
      </c>
      <c r="AD262">
        <v>6</v>
      </c>
      <c r="AE262">
        <v>4</v>
      </c>
      <c r="AF262">
        <v>6</v>
      </c>
      <c r="AG262">
        <v>5</v>
      </c>
      <c r="AH262">
        <v>7</v>
      </c>
      <c r="AI262">
        <v>7</v>
      </c>
      <c r="AJ262">
        <v>7</v>
      </c>
      <c r="AK262">
        <v>5</v>
      </c>
      <c r="AL262">
        <v>3</v>
      </c>
      <c r="AM262">
        <v>3</v>
      </c>
      <c r="AN262">
        <v>2</v>
      </c>
      <c r="AO262">
        <v>2</v>
      </c>
      <c r="AP262">
        <v>2</v>
      </c>
      <c r="AQ262">
        <v>2</v>
      </c>
    </row>
    <row r="263">
      <c r="C263" t="str">
        <v>交强险、商业险¥500万、座位险¥1万(等效先认)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</row>
    <row r="264">
      <c r="C264" t="str">
        <v>交强险、商业险¥500万、座位险¥3万(等效先认)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</v>
      </c>
      <c r="AM264">
        <v>2</v>
      </c>
      <c r="AN264">
        <v>2</v>
      </c>
      <c r="AO264">
        <v>3</v>
      </c>
      <c r="AP264">
        <v>2</v>
      </c>
      <c r="AQ264">
        <v>3</v>
      </c>
    </row>
    <row r="265">
      <c r="C265" t="str">
        <v>交强险、商业险¥500万、座位险¥5万(等效先认)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</row>
    <row r="266">
      <c r="C266" t="str">
        <v>交强险、商业险¥500万、座位险¥10万(等效先认)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</row>
    <row r="267">
      <c r="C267" t="str">
        <v>交强险、商业险¥800万、座位险¥3万(等效先认)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</row>
    <row r="268">
      <c r="C268" t="str">
        <v>交强险、商业险¥800万、座位险¥5万(等效先认)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</row>
    <row r="269">
      <c r="C269" t="str">
        <v>交强险、商业险¥800万、座位险¥10万(等效先认)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</row>
    <row r="270">
      <c r="C270" t="str">
        <v>交强险、商业险¥1000万、座位险¥3万(等效先认)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</row>
    <row r="271">
      <c r="C271" t="str">
        <v>交强险、商业险¥1000万、座位险¥5万(等效先认)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</row>
    <row r="272">
      <c r="C272" t="str">
        <v>交强险、商业险¥1000万、座位险¥10万(等效先认)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</row>
    <row r="274">
      <c r="C274" t="str">
        <v>Product Type-等效先认</v>
      </c>
      <c r="M274">
        <f>SUM(M275:M287)</f>
        <v>0</v>
      </c>
      <c r="N274">
        <f>SUM(N275:N287)</f>
        <v>0</v>
      </c>
      <c r="O274">
        <f>SUM(O275:O287)</f>
        <v>0</v>
      </c>
      <c r="P274">
        <f>SUM(P275:P287)</f>
        <v>0</v>
      </c>
      <c r="Q274">
        <f>SUM(Q275:Q287)</f>
        <v>0</v>
      </c>
      <c r="R274">
        <f>SUM(R275:R287)</f>
        <v>0</v>
      </c>
      <c r="S274">
        <f>SUM(S275:S287)</f>
        <v>0</v>
      </c>
      <c r="T274">
        <f>SUM(T275:T287)</f>
        <v>0</v>
      </c>
      <c r="U274">
        <f>SUM(U275:U287)</f>
        <v>0</v>
      </c>
      <c r="V274">
        <f>SUM(V275:V287)</f>
        <v>0</v>
      </c>
      <c r="W274">
        <f>SUM(W275:W287)</f>
        <v>0</v>
      </c>
      <c r="X274">
        <f>SUM(X275:X287)</f>
        <v>0</v>
      </c>
      <c r="Y274">
        <f>SUM(Y275:Y287)</f>
        <v>0</v>
      </c>
      <c r="Z274">
        <f>SUM(Z275:Z287)</f>
        <v>0</v>
      </c>
      <c r="AA274">
        <f>SUM(AA275:AA287)</f>
        <v>0</v>
      </c>
      <c r="AB274">
        <f>SUM(AB275:AB287)</f>
        <v>0</v>
      </c>
      <c r="AC274">
        <f>SUM(AC275:AC287)</f>
        <v>0</v>
      </c>
      <c r="AD274">
        <f>SUM(AD275:AD287)</f>
        <v>0</v>
      </c>
      <c r="AE274">
        <f>SUM(AE275:AE287)</f>
        <v>0</v>
      </c>
      <c r="AF274">
        <f>SUM(AF275:AF287)</f>
        <v>0</v>
      </c>
      <c r="AG274">
        <f>SUM(AG275:AG287)</f>
        <v>0</v>
      </c>
      <c r="AH274">
        <f>SUM(AH275:AH287)</f>
        <v>0</v>
      </c>
      <c r="AI274">
        <f>SUM(AI275:AI287)</f>
        <v>0</v>
      </c>
      <c r="AJ274">
        <f>SUM(AJ275:AJ287)</f>
        <v>0</v>
      </c>
      <c r="AK274">
        <f>SUM(AK275:AK287)</f>
        <v>1</v>
      </c>
      <c r="AL274">
        <f>SUM(AL275:AL287)</f>
        <v>18</v>
      </c>
      <c r="AM274">
        <f>SUM(AM275:AM287)</f>
        <v>39</v>
      </c>
      <c r="AN274">
        <f>SUM(AN275:AN287)</f>
        <v>47</v>
      </c>
      <c r="AO274">
        <f>SUM(AO275:AO287)</f>
        <v>62</v>
      </c>
      <c r="AP274">
        <f>SUM(AP275:AP287)</f>
        <v>56</v>
      </c>
      <c r="AQ274">
        <f>SUM(AQ275:AQ287)</f>
        <v>66</v>
      </c>
    </row>
    <row r="275">
      <c r="C275" t="str">
        <v>交强险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3</v>
      </c>
      <c r="AN275">
        <v>3</v>
      </c>
      <c r="AO275">
        <v>4</v>
      </c>
      <c r="AP275">
        <v>4</v>
      </c>
      <c r="AQ275">
        <v>4</v>
      </c>
    </row>
    <row r="276">
      <c r="C276" t="str">
        <v>交强险、商业险¥200万、座位险¥1万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3</v>
      </c>
      <c r="AM276">
        <v>7</v>
      </c>
      <c r="AN276">
        <v>9</v>
      </c>
      <c r="AO276">
        <v>12</v>
      </c>
      <c r="AP276">
        <v>11</v>
      </c>
      <c r="AQ276">
        <v>13</v>
      </c>
    </row>
    <row r="277">
      <c r="C277" t="str">
        <v>交强险、商业险¥300万、座位险¥1万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1</v>
      </c>
      <c r="AL277">
        <v>13</v>
      </c>
      <c r="AM277">
        <v>27</v>
      </c>
      <c r="AN277">
        <v>33</v>
      </c>
      <c r="AO277">
        <v>43</v>
      </c>
      <c r="AP277">
        <v>39</v>
      </c>
      <c r="AQ277">
        <v>46</v>
      </c>
    </row>
    <row r="278">
      <c r="C278" t="str">
        <v>交强险、商业险¥500万、座位险¥1万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</row>
    <row r="279">
      <c r="C279" t="str">
        <v>交强险、商业险¥500万、座位险¥3万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2</v>
      </c>
      <c r="AN279">
        <v>2</v>
      </c>
      <c r="AO279">
        <v>3</v>
      </c>
      <c r="AP279">
        <v>2</v>
      </c>
      <c r="AQ279">
        <v>3</v>
      </c>
    </row>
    <row r="280">
      <c r="C280" t="str">
        <v>交强险、商业险¥500万、座位险¥5万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</row>
    <row r="281">
      <c r="C281" t="str">
        <v>交强险、商业险¥500万、座位险¥10万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</row>
    <row r="282">
      <c r="C282" t="str">
        <v>交强险、商业险¥800万、座位险¥3万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</row>
    <row r="283">
      <c r="C283" t="str">
        <v>交强险、商业险¥800万、座位险¥5万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</row>
    <row r="284">
      <c r="C284" t="str">
        <v>交强险、商业险¥800万、座位险¥10万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</row>
    <row r="285">
      <c r="C285" t="str">
        <v>交强险、商业险¥1000万、座位险¥3万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</row>
    <row r="286">
      <c r="C286" t="str">
        <v>交强险、商业险¥1000万、座位险¥5万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</row>
    <row r="287">
      <c r="C287" t="str">
        <v>交强险、商业险¥1000万、座位险¥10万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</row>
    <row r="289">
      <c r="C289" t="str">
        <v>Product Type-一站式</v>
      </c>
      <c r="M289">
        <f>SUM(M290:M303)</f>
        <v>22</v>
      </c>
      <c r="N289">
        <f>SUM(N290:N303)</f>
        <v>25</v>
      </c>
      <c r="O289">
        <f>SUM(O290:O303)</f>
        <v>35</v>
      </c>
      <c r="P289">
        <f>SUM(P290:P303)</f>
        <v>20</v>
      </c>
      <c r="Q289">
        <f>SUM(Q290:Q303)</f>
        <v>53</v>
      </c>
      <c r="R289">
        <f>SUM(R290:R303)</f>
        <v>66</v>
      </c>
      <c r="S289">
        <f>SUM(S290:S303)</f>
        <v>79</v>
      </c>
      <c r="T289">
        <f>SUM(T290:T303)</f>
        <v>83</v>
      </c>
      <c r="U289">
        <f>SUM(U290:U303)</f>
        <v>78</v>
      </c>
      <c r="V289">
        <f>SUM(V290:V303)</f>
        <v>70</v>
      </c>
      <c r="W289">
        <f>SUM(W290:W303)</f>
        <v>78</v>
      </c>
      <c r="X289">
        <f>SUM(X290:X303)</f>
        <v>64</v>
      </c>
      <c r="Y289">
        <f>SUM(Y290:Y303)</f>
        <v>84</v>
      </c>
      <c r="Z289">
        <f>SUM(Z290:Z303)</f>
        <v>87</v>
      </c>
      <c r="AA289">
        <f>SUM(AA290:AA303)</f>
        <v>86</v>
      </c>
      <c r="AB289">
        <f>SUM(AB290:AB303)</f>
        <v>57</v>
      </c>
      <c r="AC289">
        <f>SUM(AC290:AC303)</f>
        <v>51</v>
      </c>
      <c r="AD289">
        <f>SUM(AD290:AD303)</f>
        <v>58</v>
      </c>
      <c r="AE289">
        <f>SUM(AE290:AE303)</f>
        <v>25</v>
      </c>
      <c r="AF289">
        <f>SUM(AF290:AF303)</f>
        <v>47</v>
      </c>
      <c r="AG289">
        <f>SUM(AG290:AG303)</f>
        <v>29</v>
      </c>
      <c r="AH289">
        <f>SUM(AH290:AH303)</f>
        <v>55</v>
      </c>
      <c r="AI289">
        <f>SUM(AI290:AI303)</f>
        <v>60</v>
      </c>
      <c r="AJ289">
        <f>SUM(AJ290:AJ303)</f>
        <v>57</v>
      </c>
      <c r="AK289">
        <f>SUM(AK290:AK303)</f>
        <v>59</v>
      </c>
      <c r="AL289">
        <f>SUM(AL290:AL303)</f>
        <v>44</v>
      </c>
      <c r="AM289">
        <f>SUM(AM290:AM303)</f>
        <v>48</v>
      </c>
      <c r="AN289">
        <f>SUM(AN290:AN303)</f>
        <v>33</v>
      </c>
      <c r="AO289">
        <f>SUM(AO290:AO303)</f>
        <v>29</v>
      </c>
      <c r="AP289">
        <f>SUM(AP290:AP303)</f>
        <v>33</v>
      </c>
      <c r="AQ289">
        <f>SUM(AQ290:AQ303)</f>
        <v>23</v>
      </c>
    </row>
    <row r="290">
      <c r="C290" t="str">
        <v>交强险</v>
      </c>
      <c r="M290">
        <v>5</v>
      </c>
      <c r="N290">
        <v>5</v>
      </c>
      <c r="O290">
        <v>8</v>
      </c>
      <c r="P290">
        <v>4</v>
      </c>
      <c r="Q290">
        <v>2</v>
      </c>
      <c r="R290">
        <v>2</v>
      </c>
      <c r="S290">
        <v>1</v>
      </c>
      <c r="T290">
        <v>3</v>
      </c>
      <c r="U290">
        <v>5</v>
      </c>
      <c r="V290">
        <v>4</v>
      </c>
      <c r="W290">
        <v>4</v>
      </c>
      <c r="X290">
        <v>3</v>
      </c>
      <c r="Y290">
        <v>5</v>
      </c>
      <c r="Z290">
        <v>3</v>
      </c>
      <c r="AA290">
        <v>4</v>
      </c>
      <c r="AB290">
        <v>3</v>
      </c>
      <c r="AC290">
        <v>2</v>
      </c>
      <c r="AD290">
        <v>3</v>
      </c>
      <c r="AE290">
        <v>2</v>
      </c>
      <c r="AF290">
        <v>2</v>
      </c>
      <c r="AG290">
        <v>2</v>
      </c>
      <c r="AH290">
        <v>2</v>
      </c>
      <c r="AI290">
        <v>2</v>
      </c>
      <c r="AJ290">
        <v>2</v>
      </c>
      <c r="AK290">
        <v>2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</row>
    <row r="291">
      <c r="C291" t="str">
        <v>交强险、商业险¥150万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</row>
    <row r="292">
      <c r="C292" t="str">
        <v>交强险、商业险¥150万、座位险¥3万</v>
      </c>
      <c r="M292">
        <v>9</v>
      </c>
      <c r="N292">
        <v>10</v>
      </c>
      <c r="O292">
        <v>14</v>
      </c>
      <c r="P292">
        <v>8</v>
      </c>
      <c r="Q292">
        <v>24</v>
      </c>
      <c r="R292">
        <v>30</v>
      </c>
      <c r="S292">
        <v>37</v>
      </c>
      <c r="T292">
        <v>38</v>
      </c>
      <c r="U292">
        <v>35</v>
      </c>
      <c r="V292">
        <v>31</v>
      </c>
      <c r="W292">
        <v>35</v>
      </c>
      <c r="X292">
        <v>29</v>
      </c>
      <c r="Y292">
        <v>34</v>
      </c>
      <c r="Z292">
        <v>41</v>
      </c>
      <c r="AA292">
        <v>41</v>
      </c>
      <c r="AB292">
        <v>24</v>
      </c>
      <c r="AC292">
        <v>25</v>
      </c>
      <c r="AD292">
        <v>26</v>
      </c>
      <c r="AE292">
        <v>12</v>
      </c>
      <c r="AF292">
        <v>21</v>
      </c>
      <c r="AG292">
        <v>12</v>
      </c>
      <c r="AH292">
        <v>25</v>
      </c>
      <c r="AI292">
        <v>27</v>
      </c>
      <c r="AJ292">
        <v>26</v>
      </c>
      <c r="AK292">
        <v>14</v>
      </c>
      <c r="AL292">
        <v>9</v>
      </c>
      <c r="AM292">
        <v>10</v>
      </c>
      <c r="AN292">
        <v>7</v>
      </c>
      <c r="AO292">
        <v>6</v>
      </c>
      <c r="AP292">
        <v>7</v>
      </c>
      <c r="AQ292">
        <v>5</v>
      </c>
    </row>
    <row r="293">
      <c r="C293" t="str">
        <v>交强险、商业险¥150万、座位险¥5万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</row>
    <row r="294">
      <c r="C294" t="str">
        <v>交强险、商业险¥150万、座位险¥10万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</row>
    <row r="295">
      <c r="C295" t="str">
        <v>交强险、商业险¥200万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</row>
    <row r="296">
      <c r="C296" t="str">
        <v>交强险、商业险¥200万、座位险¥3万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</row>
    <row r="297">
      <c r="C297" t="str">
        <v>交强险、商业险¥200万、座位险¥5万</v>
      </c>
      <c r="M297">
        <v>5</v>
      </c>
      <c r="N297">
        <v>6</v>
      </c>
      <c r="O297">
        <v>8</v>
      </c>
      <c r="P297">
        <v>5</v>
      </c>
      <c r="Q297">
        <v>21</v>
      </c>
      <c r="R297">
        <v>26</v>
      </c>
      <c r="S297">
        <v>32</v>
      </c>
      <c r="T297">
        <v>32</v>
      </c>
      <c r="U297">
        <v>28</v>
      </c>
      <c r="V297">
        <v>26</v>
      </c>
      <c r="W297">
        <v>29</v>
      </c>
      <c r="X297">
        <v>24</v>
      </c>
      <c r="Y297">
        <v>34</v>
      </c>
      <c r="Z297">
        <v>33</v>
      </c>
      <c r="AA297">
        <v>31</v>
      </c>
      <c r="AB297">
        <v>22</v>
      </c>
      <c r="AC297">
        <v>19</v>
      </c>
      <c r="AD297">
        <v>23</v>
      </c>
      <c r="AE297">
        <v>7</v>
      </c>
      <c r="AF297">
        <v>18</v>
      </c>
      <c r="AG297">
        <v>10</v>
      </c>
      <c r="AH297">
        <v>21</v>
      </c>
      <c r="AI297">
        <v>24</v>
      </c>
      <c r="AJ297">
        <v>22</v>
      </c>
      <c r="AK297">
        <v>25</v>
      </c>
      <c r="AL297">
        <v>20</v>
      </c>
      <c r="AM297">
        <v>22</v>
      </c>
      <c r="AN297">
        <v>15</v>
      </c>
      <c r="AO297">
        <v>13</v>
      </c>
      <c r="AP297">
        <v>15</v>
      </c>
      <c r="AQ297">
        <v>10</v>
      </c>
    </row>
    <row r="298">
      <c r="C298" t="str">
        <v>交强险、商业险¥200万、座位险¥10万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</row>
    <row r="299">
      <c r="C299" t="str">
        <v>交强险、商业险¥300万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</row>
    <row r="300">
      <c r="C300" t="str">
        <v xml:space="preserve">交强险、商业险¥300万、座位险¥1万 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</row>
    <row r="301">
      <c r="C301" t="str">
        <v xml:space="preserve">交强险、商业险¥300万、座位险¥3万 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</row>
    <row r="302">
      <c r="C302" t="str">
        <v xml:space="preserve">交强险、商业险¥300万、座位险¥5万 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13</v>
      </c>
      <c r="AL302">
        <v>12</v>
      </c>
      <c r="AM302">
        <v>13</v>
      </c>
      <c r="AN302">
        <v>9</v>
      </c>
      <c r="AO302">
        <v>8</v>
      </c>
      <c r="AP302">
        <v>9</v>
      </c>
      <c r="AQ302">
        <v>6</v>
      </c>
    </row>
    <row r="303">
      <c r="C303" t="str">
        <v>交强险、商业险¥300万、座位险¥10万</v>
      </c>
      <c r="M303">
        <v>3</v>
      </c>
      <c r="N303">
        <v>4</v>
      </c>
      <c r="O303">
        <v>5</v>
      </c>
      <c r="P303">
        <v>3</v>
      </c>
      <c r="Q303">
        <v>6</v>
      </c>
      <c r="R303">
        <v>8</v>
      </c>
      <c r="S303">
        <v>9</v>
      </c>
      <c r="T303">
        <v>10</v>
      </c>
      <c r="U303">
        <v>10</v>
      </c>
      <c r="V303">
        <v>9</v>
      </c>
      <c r="W303">
        <v>10</v>
      </c>
      <c r="X303">
        <v>8</v>
      </c>
      <c r="Y303">
        <v>11</v>
      </c>
      <c r="Z303">
        <v>10</v>
      </c>
      <c r="AA303">
        <v>10</v>
      </c>
      <c r="AB303">
        <v>8</v>
      </c>
      <c r="AC303">
        <v>5</v>
      </c>
      <c r="AD303">
        <v>6</v>
      </c>
      <c r="AE303">
        <v>4</v>
      </c>
      <c r="AF303">
        <v>6</v>
      </c>
      <c r="AG303">
        <v>5</v>
      </c>
      <c r="AH303">
        <v>7</v>
      </c>
      <c r="AI303">
        <v>7</v>
      </c>
      <c r="AJ303">
        <v>7</v>
      </c>
      <c r="AK303">
        <v>5</v>
      </c>
      <c r="AL303">
        <v>3</v>
      </c>
      <c r="AM303">
        <v>3</v>
      </c>
      <c r="AN303">
        <v>2</v>
      </c>
      <c r="AO303">
        <v>2</v>
      </c>
      <c r="AP303">
        <v>2</v>
      </c>
      <c r="AQ303">
        <v>2</v>
      </c>
    </row>
    <row r="305">
      <c r="C305" t="str">
        <v>Product Type-TAIPING</v>
      </c>
      <c r="M305">
        <f>SUM(M306:M321)</f>
        <v>22</v>
      </c>
      <c r="N305">
        <f>SUM(N306:N321)</f>
        <v>25</v>
      </c>
      <c r="O305">
        <f>SUM(O306:O321)</f>
        <v>35</v>
      </c>
      <c r="P305">
        <f>SUM(P306:P321)</f>
        <v>19</v>
      </c>
      <c r="Q305">
        <f>SUM(Q306:Q321)</f>
        <v>9</v>
      </c>
      <c r="R305">
        <f>SUM(R306:R321)</f>
        <v>9</v>
      </c>
      <c r="S305">
        <f>SUM(S306:S321)</f>
        <v>5</v>
      </c>
      <c r="T305">
        <f>SUM(T306:T321)</f>
        <v>15</v>
      </c>
      <c r="U305">
        <f>SUM(U306:U321)</f>
        <v>22</v>
      </c>
      <c r="V305">
        <f>SUM(V306:V321)</f>
        <v>18</v>
      </c>
      <c r="W305">
        <f>SUM(W306:W321)</f>
        <v>18</v>
      </c>
      <c r="X305">
        <f>SUM(X306:X321)</f>
        <v>15</v>
      </c>
      <c r="Y305">
        <f>SUM(Y306:Y321)</f>
        <v>23</v>
      </c>
      <c r="Z305">
        <f>SUM(Z306:Z321)</f>
        <v>20</v>
      </c>
      <c r="AA305">
        <f>SUM(AA306:AA321)</f>
        <v>15</v>
      </c>
      <c r="AB305">
        <f>SUM(AB306:AB321)</f>
        <v>11</v>
      </c>
      <c r="AC305">
        <f>SUM(AC306:AC321)</f>
        <v>8</v>
      </c>
      <c r="AD305">
        <f>SUM(AD306:AD321)</f>
        <v>11</v>
      </c>
      <c r="AE305">
        <f>SUM(AE306:AE321)</f>
        <v>10</v>
      </c>
      <c r="AF305">
        <f>SUM(AF306:AF321)</f>
        <v>9</v>
      </c>
      <c r="AG305">
        <f>SUM(AG306:AG321)</f>
        <v>8</v>
      </c>
      <c r="AH305">
        <f>SUM(AH306:AH321)</f>
        <v>9</v>
      </c>
      <c r="AI305">
        <f>SUM(AI306:AI321)</f>
        <v>8</v>
      </c>
      <c r="AJ305">
        <f>SUM(AJ306:AJ321)</f>
        <v>9</v>
      </c>
      <c r="AK305">
        <f>SUM(AK306:AK321)</f>
        <v>9</v>
      </c>
      <c r="AL305">
        <f>SUM(AL306:AL321)</f>
        <v>13</v>
      </c>
      <c r="AM305">
        <f>SUM(AM306:AM321)</f>
        <v>23</v>
      </c>
      <c r="AN305">
        <f>SUM(AN306:AN321)</f>
        <v>27</v>
      </c>
      <c r="AO305">
        <f>SUM(AO306:AO321)</f>
        <v>33</v>
      </c>
      <c r="AP305">
        <f>SUM(AP306:AP321)</f>
        <v>30</v>
      </c>
      <c r="AQ305">
        <f>SUM(AQ306:AQ321)</f>
        <v>33</v>
      </c>
    </row>
    <row r="306">
      <c r="C306" t="str">
        <v>交强险(旧一站式、一站式、等效先认)</v>
      </c>
      <c r="M306">
        <v>5</v>
      </c>
      <c r="N306">
        <v>5</v>
      </c>
      <c r="O306">
        <v>8</v>
      </c>
      <c r="P306">
        <v>4</v>
      </c>
      <c r="Q306">
        <v>2</v>
      </c>
      <c r="R306">
        <v>2</v>
      </c>
      <c r="S306">
        <v>1</v>
      </c>
      <c r="T306">
        <v>3</v>
      </c>
      <c r="U306">
        <v>5</v>
      </c>
      <c r="V306">
        <v>4</v>
      </c>
      <c r="W306">
        <v>4</v>
      </c>
      <c r="X306">
        <v>3</v>
      </c>
      <c r="Y306">
        <v>5</v>
      </c>
      <c r="Z306">
        <v>3</v>
      </c>
      <c r="AA306">
        <v>4</v>
      </c>
      <c r="AB306">
        <v>3</v>
      </c>
      <c r="AC306">
        <v>2</v>
      </c>
      <c r="AD306">
        <v>3</v>
      </c>
      <c r="AE306">
        <v>2</v>
      </c>
      <c r="AF306">
        <v>2</v>
      </c>
      <c r="AG306">
        <v>2</v>
      </c>
      <c r="AH306">
        <v>2</v>
      </c>
      <c r="AI306">
        <v>2</v>
      </c>
      <c r="AJ306">
        <v>2</v>
      </c>
      <c r="AK306">
        <v>2</v>
      </c>
      <c r="AL306">
        <v>1</v>
      </c>
      <c r="AM306">
        <v>2</v>
      </c>
      <c r="AN306">
        <v>3</v>
      </c>
      <c r="AO306">
        <v>3</v>
      </c>
      <c r="AP306">
        <v>3</v>
      </c>
      <c r="AQ306">
        <v>3</v>
      </c>
    </row>
    <row r="307">
      <c r="C307" t="str">
        <v>交强险、商业险¥150万、座位险¥3万(旧一站式)</v>
      </c>
      <c r="M307">
        <v>9</v>
      </c>
      <c r="N307">
        <v>10</v>
      </c>
      <c r="O307">
        <v>14</v>
      </c>
      <c r="P307">
        <v>8</v>
      </c>
      <c r="Q307">
        <v>4</v>
      </c>
      <c r="R307">
        <v>4</v>
      </c>
      <c r="S307">
        <v>2</v>
      </c>
      <c r="T307">
        <v>6</v>
      </c>
      <c r="U307">
        <v>9</v>
      </c>
      <c r="V307">
        <v>7</v>
      </c>
      <c r="W307">
        <v>7</v>
      </c>
      <c r="X307">
        <v>6</v>
      </c>
      <c r="Y307">
        <v>7</v>
      </c>
      <c r="Z307">
        <v>10</v>
      </c>
      <c r="AA307">
        <v>6</v>
      </c>
      <c r="AB307">
        <v>4</v>
      </c>
      <c r="AC307">
        <v>4</v>
      </c>
      <c r="AD307">
        <v>5</v>
      </c>
      <c r="AE307">
        <v>4</v>
      </c>
      <c r="AF307">
        <v>4</v>
      </c>
      <c r="AG307">
        <v>3</v>
      </c>
      <c r="AH307">
        <v>4</v>
      </c>
      <c r="AI307">
        <v>3</v>
      </c>
      <c r="AJ307">
        <v>4</v>
      </c>
      <c r="AK307">
        <v>4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</row>
    <row r="308">
      <c r="C308" t="str">
        <v>交强险、商业险¥200万、座位险¥1万(等效先认)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2</v>
      </c>
      <c r="AM308">
        <v>3</v>
      </c>
      <c r="AN308">
        <v>4</v>
      </c>
      <c r="AO308">
        <v>5</v>
      </c>
      <c r="AP308">
        <v>4</v>
      </c>
      <c r="AQ308">
        <v>5</v>
      </c>
    </row>
    <row r="309">
      <c r="C309" t="str">
        <v>交强险、商业险¥200万、座位险¥5万(旧一站式)</v>
      </c>
      <c r="M309">
        <v>5</v>
      </c>
      <c r="N309">
        <v>6</v>
      </c>
      <c r="O309">
        <v>8</v>
      </c>
      <c r="P309">
        <v>4</v>
      </c>
      <c r="Q309">
        <v>2</v>
      </c>
      <c r="R309">
        <v>2</v>
      </c>
      <c r="S309">
        <v>1</v>
      </c>
      <c r="T309">
        <v>4</v>
      </c>
      <c r="U309">
        <v>5</v>
      </c>
      <c r="V309">
        <v>4</v>
      </c>
      <c r="W309">
        <v>4</v>
      </c>
      <c r="X309">
        <v>4</v>
      </c>
      <c r="Y309">
        <v>7</v>
      </c>
      <c r="Z309">
        <v>4</v>
      </c>
      <c r="AA309">
        <v>3</v>
      </c>
      <c r="AB309">
        <v>2</v>
      </c>
      <c r="AC309">
        <v>1</v>
      </c>
      <c r="AD309">
        <v>2</v>
      </c>
      <c r="AE309">
        <v>2</v>
      </c>
      <c r="AF309">
        <v>2</v>
      </c>
      <c r="AG309">
        <v>2</v>
      </c>
      <c r="AH309">
        <v>2</v>
      </c>
      <c r="AI309">
        <v>2</v>
      </c>
      <c r="AJ309">
        <v>2</v>
      </c>
      <c r="AK309">
        <v>2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</row>
    <row r="310">
      <c r="C310" t="str">
        <v>交强险、商业险¥300万、座位险¥1万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9</v>
      </c>
      <c r="AM310">
        <v>16</v>
      </c>
      <c r="AN310">
        <v>18</v>
      </c>
      <c r="AO310">
        <v>23</v>
      </c>
      <c r="AP310">
        <v>21</v>
      </c>
      <c r="AQ310">
        <v>23</v>
      </c>
    </row>
    <row r="311">
      <c r="C311" t="str">
        <v>交强险、商业险¥300万、座位险¥10万(旧一站式)</v>
      </c>
      <c r="M311">
        <v>3</v>
      </c>
      <c r="N311">
        <v>4</v>
      </c>
      <c r="O311">
        <v>5</v>
      </c>
      <c r="P311">
        <v>3</v>
      </c>
      <c r="Q311">
        <v>1</v>
      </c>
      <c r="R311">
        <v>1</v>
      </c>
      <c r="S311">
        <v>1</v>
      </c>
      <c r="T311">
        <v>2</v>
      </c>
      <c r="U311">
        <v>3</v>
      </c>
      <c r="V311">
        <v>3</v>
      </c>
      <c r="W311">
        <v>3</v>
      </c>
      <c r="X311">
        <v>2</v>
      </c>
      <c r="Y311">
        <v>4</v>
      </c>
      <c r="Z311">
        <v>3</v>
      </c>
      <c r="AA311">
        <v>2</v>
      </c>
      <c r="AB311">
        <v>2</v>
      </c>
      <c r="AC311">
        <v>1</v>
      </c>
      <c r="AD311">
        <v>1</v>
      </c>
      <c r="AE311">
        <v>2</v>
      </c>
      <c r="AF311">
        <v>1</v>
      </c>
      <c r="AG311">
        <v>1</v>
      </c>
      <c r="AH311">
        <v>1</v>
      </c>
      <c r="AI311">
        <v>1</v>
      </c>
      <c r="AJ311">
        <v>1</v>
      </c>
      <c r="AK311">
        <v>1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</row>
    <row r="312">
      <c r="C312" t="str">
        <v>交强险、商业险¥500万、座位险¥1万(等效先认)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</row>
    <row r="313">
      <c r="C313" t="str">
        <v>交强险、商业险¥500万、座位险¥3万(等效先认)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2</v>
      </c>
      <c r="AN313">
        <v>2</v>
      </c>
      <c r="AO313">
        <v>2</v>
      </c>
      <c r="AP313">
        <v>2</v>
      </c>
      <c r="AQ313">
        <v>2</v>
      </c>
    </row>
    <row r="314">
      <c r="C314" t="str">
        <v>交强险、商业险¥500万、座位险¥5万(等效先认)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</row>
    <row r="315">
      <c r="C315" t="str">
        <v>交强险、商业险¥500万、座位险¥10万(等效先认)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</row>
    <row r="316">
      <c r="C316" t="str">
        <v>交强险、商业险¥800万、座位险¥3万(等效先认)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</row>
    <row r="317">
      <c r="C317" t="str">
        <v>交强险、商业险¥800万、座位险¥5万(等效先认)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</row>
    <row r="318">
      <c r="C318" t="str">
        <v>交强险、商业险¥800万、座位险¥10万(等效先认)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</row>
    <row r="319">
      <c r="C319" t="str">
        <v>交强险、商业险¥1000万、座位险¥3万(等效先认)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</row>
    <row r="320">
      <c r="C320" t="str">
        <v>交强险、商业险¥1000万、座位险¥5万(等效先认)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</row>
    <row r="321">
      <c r="C321" t="str">
        <v>交强险、商业险¥1000万、座位险¥10万(等效先认)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</row>
    <row r="323">
      <c r="C323" t="str">
        <v>Product Type-PICC</v>
      </c>
      <c r="M323">
        <f>SUM(M324:M341)</f>
        <v>0</v>
      </c>
      <c r="N323">
        <f>SUM(N324:N341)</f>
        <v>0</v>
      </c>
      <c r="O323">
        <f>SUM(O324:O341)</f>
        <v>0</v>
      </c>
      <c r="P323">
        <f>SUM(P324:P341)</f>
        <v>0</v>
      </c>
      <c r="Q323">
        <f>SUM(Q324:Q341)</f>
        <v>45</v>
      </c>
      <c r="R323">
        <f>SUM(R324:R341)</f>
        <v>58</v>
      </c>
      <c r="S323">
        <f>SUM(S324:S341)</f>
        <v>75</v>
      </c>
      <c r="T323">
        <f>SUM(T324:T341)</f>
        <v>67</v>
      </c>
      <c r="U323">
        <f>SUM(U324:U341)</f>
        <v>55</v>
      </c>
      <c r="V323">
        <f>SUM(V324:V341)</f>
        <v>52</v>
      </c>
      <c r="W323">
        <f>SUM(W324:W341)</f>
        <v>60</v>
      </c>
      <c r="X323">
        <f>SUM(X324:X341)</f>
        <v>50</v>
      </c>
      <c r="Y323">
        <f>SUM(Y324:Y341)</f>
        <v>60</v>
      </c>
      <c r="Z323">
        <f>SUM(Z324:Z341)</f>
        <v>66</v>
      </c>
      <c r="AA323">
        <f>SUM(AA324:AA341)</f>
        <v>69</v>
      </c>
      <c r="AB323">
        <f>SUM(AB324:AB341)</f>
        <v>46</v>
      </c>
      <c r="AC323">
        <f>SUM(AC324:AC341)</f>
        <v>43</v>
      </c>
      <c r="AD323">
        <f>SUM(AD324:AD341)</f>
        <v>47</v>
      </c>
      <c r="AE323">
        <f>SUM(AE324:AE341)</f>
        <v>16</v>
      </c>
      <c r="AF323">
        <f>SUM(AF324:AF341)</f>
        <v>38</v>
      </c>
      <c r="AG323">
        <f>SUM(AG324:AG341)</f>
        <v>22</v>
      </c>
      <c r="AH323">
        <f>SUM(AH324:AH341)</f>
        <v>45</v>
      </c>
      <c r="AI323">
        <f>SUM(AI324:AI341)</f>
        <v>52</v>
      </c>
      <c r="AJ323">
        <f>SUM(AJ324:AJ341)</f>
        <v>47</v>
      </c>
      <c r="AK323">
        <f>SUM(AK324:AK341)</f>
        <v>51</v>
      </c>
      <c r="AL323">
        <f>SUM(AL324:AL341)</f>
        <v>49</v>
      </c>
      <c r="AM323">
        <f>SUM(AM324:AM341)</f>
        <v>65</v>
      </c>
      <c r="AN323">
        <f>SUM(AN324:AN341)</f>
        <v>54</v>
      </c>
      <c r="AO323">
        <f>SUM(AO324:AO341)</f>
        <v>57</v>
      </c>
      <c r="AP323">
        <f>SUM(AP324:AP341)</f>
        <v>58</v>
      </c>
      <c r="AQ323">
        <f>SUM(AQ324:AQ341)</f>
        <v>55</v>
      </c>
    </row>
    <row r="324">
      <c r="C324" t="str">
        <v>交强险(旧一站式、一站式、等效先认)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1</v>
      </c>
      <c r="AN324">
        <v>1</v>
      </c>
      <c r="AO324">
        <v>1</v>
      </c>
      <c r="AP324">
        <v>1</v>
      </c>
      <c r="AQ324">
        <v>1</v>
      </c>
    </row>
    <row r="325">
      <c r="C325" t="str">
        <v>交强险、商业险¥150万(一站式)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</row>
    <row r="326">
      <c r="C326" t="str">
        <v>交强险、商业险¥150万、座位险¥3万(旧一站式、一站式)</v>
      </c>
      <c r="M326">
        <v>0</v>
      </c>
      <c r="N326">
        <v>0</v>
      </c>
      <c r="O326">
        <v>0</v>
      </c>
      <c r="P326">
        <v>0</v>
      </c>
      <c r="Q326">
        <v>21</v>
      </c>
      <c r="R326">
        <v>27</v>
      </c>
      <c r="S326">
        <v>35</v>
      </c>
      <c r="T326">
        <v>31</v>
      </c>
      <c r="U326">
        <v>26</v>
      </c>
      <c r="V326">
        <v>24</v>
      </c>
      <c r="W326">
        <v>28</v>
      </c>
      <c r="X326">
        <v>23</v>
      </c>
      <c r="Y326">
        <v>26</v>
      </c>
      <c r="Z326">
        <v>31</v>
      </c>
      <c r="AA326">
        <v>35</v>
      </c>
      <c r="AB326">
        <v>20</v>
      </c>
      <c r="AC326">
        <v>21</v>
      </c>
      <c r="AD326">
        <v>21</v>
      </c>
      <c r="AE326">
        <v>8</v>
      </c>
      <c r="AF326">
        <v>17</v>
      </c>
      <c r="AG326">
        <v>9</v>
      </c>
      <c r="AH326">
        <v>21</v>
      </c>
      <c r="AI326">
        <v>24</v>
      </c>
      <c r="AJ326">
        <v>22</v>
      </c>
      <c r="AK326">
        <v>11</v>
      </c>
      <c r="AL326">
        <v>9</v>
      </c>
      <c r="AM326">
        <v>10</v>
      </c>
      <c r="AN326">
        <v>7</v>
      </c>
      <c r="AO326">
        <v>6</v>
      </c>
      <c r="AP326">
        <v>7</v>
      </c>
      <c r="AQ326">
        <v>5</v>
      </c>
    </row>
    <row r="327">
      <c r="C327" t="str">
        <v>交强险、商业险¥150万、座位险¥5万(一站式)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</row>
    <row r="328">
      <c r="C328" t="str">
        <v>交强险、商业险¥150万、座位险¥10万(一站式)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</row>
    <row r="329">
      <c r="C329" t="str">
        <v>交强险、商业险¥200万(一站式)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</row>
    <row r="330">
      <c r="C330" t="str">
        <v>交强险、商业险¥200万、座位险¥3万(一站式)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4</v>
      </c>
      <c r="AN330">
        <v>5</v>
      </c>
      <c r="AO330">
        <v>7</v>
      </c>
      <c r="AP330">
        <v>6</v>
      </c>
      <c r="AQ330">
        <v>8</v>
      </c>
    </row>
    <row r="331">
      <c r="C331" t="str">
        <v>交强险、商业险¥200万、座位险¥5万(旧一站式、一站式)</v>
      </c>
      <c r="M331">
        <v>0</v>
      </c>
      <c r="N331">
        <v>0</v>
      </c>
      <c r="O331">
        <v>0</v>
      </c>
      <c r="P331">
        <v>0</v>
      </c>
      <c r="Q331">
        <v>19</v>
      </c>
      <c r="R331">
        <v>24</v>
      </c>
      <c r="S331">
        <v>31</v>
      </c>
      <c r="T331">
        <v>28</v>
      </c>
      <c r="U331">
        <v>23</v>
      </c>
      <c r="V331">
        <v>22</v>
      </c>
      <c r="W331">
        <v>25</v>
      </c>
      <c r="X331">
        <v>21</v>
      </c>
      <c r="Y331">
        <v>27</v>
      </c>
      <c r="Z331">
        <v>28</v>
      </c>
      <c r="AA331">
        <v>27</v>
      </c>
      <c r="AB331">
        <v>20</v>
      </c>
      <c r="AC331">
        <v>18</v>
      </c>
      <c r="AD331">
        <v>21</v>
      </c>
      <c r="AE331">
        <v>6</v>
      </c>
      <c r="AF331">
        <v>16</v>
      </c>
      <c r="AG331">
        <v>8</v>
      </c>
      <c r="AH331">
        <v>19</v>
      </c>
      <c r="AI331">
        <v>22</v>
      </c>
      <c r="AJ331">
        <v>20</v>
      </c>
      <c r="AK331">
        <v>23</v>
      </c>
      <c r="AL331">
        <v>20</v>
      </c>
      <c r="AM331">
        <v>22</v>
      </c>
      <c r="AN331">
        <v>15</v>
      </c>
      <c r="AO331">
        <v>13</v>
      </c>
      <c r="AP331">
        <v>15</v>
      </c>
      <c r="AQ331">
        <v>10</v>
      </c>
    </row>
    <row r="332">
      <c r="C332" t="str">
        <v>交强险、商业险¥200万、座位险¥10万(一站式)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</row>
    <row r="333">
      <c r="C333" t="str">
        <v>交强险、商业险¥300万(一站式)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</row>
    <row r="334">
      <c r="C334" t="str">
        <v>交强险、商业险¥300万、座位险¥1万 (等效先认)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4</v>
      </c>
      <c r="AM334">
        <v>12</v>
      </c>
      <c r="AN334">
        <v>15</v>
      </c>
      <c r="AO334">
        <v>20</v>
      </c>
      <c r="AP334">
        <v>18</v>
      </c>
      <c r="AQ334">
        <v>23</v>
      </c>
    </row>
    <row r="335">
      <c r="C335" t="str">
        <v>交强险、商业险¥300万、座位险¥3万 (一站式)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</row>
    <row r="336">
      <c r="C336" t="str">
        <v>交强险、商业险¥300万、座位险¥5万 (一站式)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13</v>
      </c>
      <c r="AL336">
        <v>12</v>
      </c>
      <c r="AM336">
        <v>13</v>
      </c>
      <c r="AN336">
        <v>9</v>
      </c>
      <c r="AO336">
        <v>8</v>
      </c>
      <c r="AP336">
        <v>9</v>
      </c>
      <c r="AQ336">
        <v>6</v>
      </c>
    </row>
    <row r="337">
      <c r="C337" t="str">
        <v>交强险、商业险¥300万、座位险¥10万(旧一站式、一站式)</v>
      </c>
      <c r="M337">
        <v>0</v>
      </c>
      <c r="N337">
        <v>0</v>
      </c>
      <c r="O337">
        <v>0</v>
      </c>
      <c r="P337">
        <v>0</v>
      </c>
      <c r="Q337">
        <v>5</v>
      </c>
      <c r="R337">
        <v>7</v>
      </c>
      <c r="S337">
        <v>9</v>
      </c>
      <c r="T337">
        <v>8</v>
      </c>
      <c r="U337">
        <v>6</v>
      </c>
      <c r="V337">
        <v>6</v>
      </c>
      <c r="W337">
        <v>7</v>
      </c>
      <c r="X337">
        <v>6</v>
      </c>
      <c r="Y337">
        <v>7</v>
      </c>
      <c r="Z337">
        <v>7</v>
      </c>
      <c r="AA337">
        <v>7</v>
      </c>
      <c r="AB337">
        <v>6</v>
      </c>
      <c r="AC337">
        <v>4</v>
      </c>
      <c r="AD337">
        <v>5</v>
      </c>
      <c r="AE337">
        <v>2</v>
      </c>
      <c r="AF337">
        <v>5</v>
      </c>
      <c r="AG337">
        <v>5</v>
      </c>
      <c r="AH337">
        <v>5</v>
      </c>
      <c r="AI337">
        <v>6</v>
      </c>
      <c r="AJ337">
        <v>5</v>
      </c>
      <c r="AK337">
        <v>4</v>
      </c>
      <c r="AL337">
        <v>3</v>
      </c>
      <c r="AM337">
        <v>3</v>
      </c>
      <c r="AN337">
        <v>2</v>
      </c>
      <c r="AO337">
        <v>2</v>
      </c>
      <c r="AP337">
        <v>2</v>
      </c>
      <c r="AQ337">
        <v>2</v>
      </c>
    </row>
    <row r="338">
      <c r="C338" t="str">
        <v>交强险、商业险¥500万、座位险¥1万(等效先认)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</row>
    <row r="339">
      <c r="C339" t="str">
        <v>交强险、商业险¥500万、座位险¥3万(等效先认)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</row>
    <row r="340">
      <c r="C340" t="str">
        <v>交强险、商业险¥500万、座位险¥5万(等效先认)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</row>
    <row r="341">
      <c r="C341" t="str">
        <v>交强险、商业险¥500万、座位险¥10万(等效先认)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</row>
    <row r="343">
      <c r="C343" t="str">
        <v>Avg. Price</v>
      </c>
      <c r="H343">
        <f>SUM(Y343:Z343)</f>
        <v>0</v>
      </c>
    </row>
    <row r="344">
      <c r="C344" t="str">
        <v>- Overall</v>
      </c>
    </row>
    <row r="345">
      <c r="C345" t="str">
        <v xml:space="preserve"> - Taiping Product</v>
      </c>
      <c r="D345" t="str">
        <v>$</v>
      </c>
      <c r="F345">
        <f>H345</f>
        <v>4908.667046193884</v>
      </c>
      <c r="H345">
        <f>SUM(Y345:Z345)</f>
        <v>4908.667046193884</v>
      </c>
      <c r="J345">
        <f>W345</f>
        <v>2385.5263157894738</v>
      </c>
      <c r="K345">
        <f>Z345</f>
        <v>2449.1428571428573</v>
      </c>
      <c r="M345">
        <f>M14/M146</f>
        <v>3468.7391304347825</v>
      </c>
      <c r="N345">
        <f>N14/N146</f>
        <v>3303.48</v>
      </c>
      <c r="O345">
        <f>O14/O146</f>
        <v>3527.6470588235293</v>
      </c>
      <c r="P345">
        <f>P14/P146</f>
        <v>3671.684210526316</v>
      </c>
      <c r="Q345">
        <f>Q14/Q146</f>
        <v>2933.1111111111113</v>
      </c>
      <c r="R345">
        <f>R14/R146</f>
        <v>1223</v>
      </c>
      <c r="S345">
        <f>S14/S146</f>
        <v>1746</v>
      </c>
      <c r="T345">
        <f>T14/T146</f>
        <v>12145.603125</v>
      </c>
      <c r="U345">
        <f>U14/U146</f>
        <v>2454.4545454545455</v>
      </c>
      <c r="V345">
        <f>V14/V146</f>
        <v>2569.6470588235293</v>
      </c>
      <c r="W345">
        <f>W14/W146</f>
        <v>2385.5263157894738</v>
      </c>
      <c r="X345">
        <f>X14/X146</f>
        <v>2404.25</v>
      </c>
      <c r="Y345">
        <f>Y14/Y146</f>
        <v>2504.217391304348</v>
      </c>
      <c r="Z345">
        <f>Z14/Z146</f>
        <v>2449.1428571428573</v>
      </c>
      <c r="AA345">
        <f>AA14/AA146</f>
        <v>2368.125</v>
      </c>
      <c r="AB345">
        <f>AB14/AB146</f>
        <v>2201.6666666666665</v>
      </c>
      <c r="AC345">
        <f>AC14/AC146</f>
        <v>2338</v>
      </c>
      <c r="AD345">
        <f>AD14/AD146</f>
        <v>2387</v>
      </c>
      <c r="AE345">
        <f>AE14/AE146</f>
        <v>2422.1</v>
      </c>
      <c r="AF345">
        <f>AF14/AF146</f>
        <v>14858.6875</v>
      </c>
      <c r="AG345">
        <f>AG14/AG146</f>
        <v>2703</v>
      </c>
      <c r="AH345">
        <f>AH14/AH146</f>
        <v>2610.4444444444443</v>
      </c>
      <c r="AI345">
        <f>AI14/AI146</f>
        <v>2374.5</v>
      </c>
      <c r="AJ345">
        <f>AJ14/AJ146</f>
        <v>2335.9</v>
      </c>
      <c r="AK345">
        <f>AK14/AK146</f>
        <v>2155.2</v>
      </c>
    </row>
    <row r="346">
      <c r="C346" t="str">
        <v xml:space="preserve"> - PICC Product</v>
      </c>
      <c r="D346" t="str">
        <v>$</v>
      </c>
      <c r="F346">
        <f>H346</f>
        <v>4863.505219418263</v>
      </c>
      <c r="H346">
        <f>SUM(Y346:Z346)</f>
        <v>4863.505219418263</v>
      </c>
      <c r="J346">
        <f>W346</f>
        <v>2384.8196721311474</v>
      </c>
      <c r="K346">
        <f>Z346</f>
        <v>2424.030303030303</v>
      </c>
      <c r="O346">
        <f>O60/O193</f>
        <v>2342</v>
      </c>
      <c r="P346">
        <f>P60/P193</f>
        <v>1548</v>
      </c>
      <c r="Q346">
        <f>Q60/Q193</f>
        <v>2493.8</v>
      </c>
      <c r="R346">
        <f>R60/R193</f>
        <v>2392.948275862069</v>
      </c>
      <c r="S346">
        <f>S60/S193</f>
        <v>2506.52</v>
      </c>
      <c r="T346">
        <f>T60/T193</f>
        <v>2433.791044776119</v>
      </c>
      <c r="U346">
        <f>U60/U193</f>
        <v>2387.964285714286</v>
      </c>
      <c r="V346">
        <f>V60/V193</f>
        <v>2406.245283018868</v>
      </c>
      <c r="W346">
        <f>W60/W193</f>
        <v>2384.8196721311474</v>
      </c>
      <c r="X346">
        <f>X60/X193</f>
        <v>2356.183673469388</v>
      </c>
      <c r="Y346">
        <f>Y60/Y193</f>
        <v>2472.5593220338983</v>
      </c>
      <c r="Z346">
        <f>Z60/Z193</f>
        <v>2424.030303030303</v>
      </c>
      <c r="AA346">
        <f>AA60/AA193</f>
        <v>2383.342857142857</v>
      </c>
      <c r="AB346">
        <f>AB60/AB193</f>
        <v>2462.586956521739</v>
      </c>
      <c r="AC346">
        <f>AC60/AC193</f>
        <v>2406.9761904761904</v>
      </c>
      <c r="AD346">
        <f>AD60/AD193</f>
        <v>2522.804347826087</v>
      </c>
      <c r="AE346">
        <f>AE60/AE193</f>
        <v>2351.8125</v>
      </c>
      <c r="AF346">
        <f>AF60/AF193</f>
        <v>12985.056213017751</v>
      </c>
      <c r="AG346">
        <f>AG60/AG193</f>
        <v>2552.2727272727275</v>
      </c>
      <c r="AH346">
        <f>AH60/AH193</f>
        <v>2506.978260869565</v>
      </c>
      <c r="AI346">
        <f>AI60/AI193</f>
        <v>2614.923076923077</v>
      </c>
      <c r="AJ346">
        <f>AJ60/AJ193</f>
        <v>2533.673469387755</v>
      </c>
      <c r="AK346">
        <f>AK60/AK193</f>
        <v>2630.5882352941176</v>
      </c>
    </row>
    <row r="348">
      <c r="C348" t="str">
        <v>驗車中心Cost</v>
      </c>
    </row>
    <row r="349">
      <c r="C349" t="str">
        <v>TAIPING Cost</v>
      </c>
      <c r="D349" t="str">
        <v>$</v>
      </c>
      <c r="T349">
        <f>29768.46285/2</f>
        <v>14884.231425</v>
      </c>
      <c r="U349">
        <f>32314.39645/2</f>
        <v>16157.198225</v>
      </c>
      <c r="V349">
        <v>2356</v>
      </c>
      <c r="W349">
        <v>1991</v>
      </c>
      <c r="X349">
        <v>2354</v>
      </c>
      <c r="Y349">
        <v>3063</v>
      </c>
      <c r="Z349">
        <v>2619</v>
      </c>
      <c r="AA349">
        <v>2178</v>
      </c>
      <c r="AB349">
        <v>977</v>
      </c>
      <c r="AC349">
        <v>991</v>
      </c>
      <c r="AD349">
        <v>1686</v>
      </c>
    </row>
    <row r="350">
      <c r="C350" t="str">
        <v>PICC Cost</v>
      </c>
      <c r="D350" t="str">
        <v>$</v>
      </c>
      <c r="T350">
        <v>8715</v>
      </c>
      <c r="U350">
        <v>6230</v>
      </c>
      <c r="V350">
        <v>5738</v>
      </c>
      <c r="W350">
        <v>6816</v>
      </c>
      <c r="X350">
        <v>5899</v>
      </c>
      <c r="Y350">
        <v>6836</v>
      </c>
      <c r="Z350">
        <v>7183</v>
      </c>
      <c r="AA350">
        <v>8168</v>
      </c>
      <c r="AB350">
        <v>5220</v>
      </c>
      <c r="AC350">
        <v>4058</v>
      </c>
      <c r="AD350">
        <v>4763</v>
      </c>
    </row>
    <row r="351">
      <c r="C351" t="str">
        <v>Total Cost</v>
      </c>
      <c r="D351" t="str">
        <v>$</v>
      </c>
      <c r="T351">
        <f>SUM(T349:T350)</f>
        <v>23599.231424999998</v>
      </c>
      <c r="U351">
        <f>SUM(U349:U350)</f>
        <v>22387.198225</v>
      </c>
      <c r="V351">
        <f>SUM(V349:V350)</f>
        <v>8094</v>
      </c>
      <c r="W351">
        <f>SUM(W349:W350)</f>
        <v>8807</v>
      </c>
      <c r="X351">
        <f>SUM(X349:X350)</f>
        <v>8253</v>
      </c>
      <c r="Y351">
        <f>SUM(Y349:Y350)</f>
        <v>9899</v>
      </c>
      <c r="Z351">
        <f>SUM(Z349:Z350)</f>
        <v>9802</v>
      </c>
      <c r="AA351">
        <f>SUM(AA349:AA350)</f>
        <v>10346</v>
      </c>
      <c r="AB351">
        <f>SUM(AB349:AB350)</f>
        <v>6197</v>
      </c>
      <c r="AC351">
        <f>SUM(AC349:AC350)</f>
        <v>5049</v>
      </c>
      <c r="AD351">
        <f>SUM(AD349:AD350)</f>
        <v>6449</v>
      </c>
      <c r="AE351">
        <f>SUM(AE349:AE350)</f>
        <v>0</v>
      </c>
      <c r="AF351">
        <f>SUM(AF349:AF350)</f>
        <v>0</v>
      </c>
      <c r="AG351">
        <f>SUM(AG349:AG350)</f>
        <v>0</v>
      </c>
      <c r="AH351">
        <f>SUM(AH349:AH350)</f>
        <v>0</v>
      </c>
      <c r="AI351">
        <f>SUM(AI349:AI350)</f>
        <v>0</v>
      </c>
      <c r="AJ351">
        <f>SUM(AJ349:AJ350)</f>
        <v>0</v>
      </c>
    </row>
    <row r="352">
      <c r="H352">
        <f>SUM(Y352:Z352)</f>
        <v>0</v>
      </c>
    </row>
    <row r="353">
      <c r="C353" t="str">
        <v>Share Breakup(%)</v>
      </c>
      <c r="H353">
        <f>SUM(Y353:Z353)</f>
        <v>0</v>
      </c>
    </row>
    <row r="354">
      <c r="C354" t="str">
        <v>Total Sales (Premium)%</v>
      </c>
      <c r="H354">
        <f>SUM(Y354:Z354)</f>
        <v>0</v>
      </c>
    </row>
    <row r="355">
      <c r="C355" t="str">
        <v xml:space="preserve"> - New Sales</v>
      </c>
      <c r="D355" t="str">
        <v>%</v>
      </c>
      <c r="F355">
        <f>H355</f>
        <v>1.7826080208694255</v>
      </c>
      <c r="H355">
        <f>SUM(Y355:Z355)</f>
        <v>1.7826080208694255</v>
      </c>
      <c r="J355">
        <f>W355</f>
        <v>0.9663497819623892</v>
      </c>
      <c r="K355">
        <f>Z355</f>
        <v>0.9052249382367171</v>
      </c>
      <c r="M355">
        <f>M10/M9</f>
        <v>1</v>
      </c>
      <c r="N355">
        <f>N10/N9</f>
        <v>1</v>
      </c>
      <c r="O355">
        <f>O10/O9</f>
        <v>1</v>
      </c>
      <c r="P355">
        <f>P10/P9</f>
        <v>1</v>
      </c>
      <c r="Q355">
        <f>Q10/Q9</f>
        <v>1</v>
      </c>
      <c r="R355">
        <f>R10/R9</f>
        <v>1</v>
      </c>
      <c r="S355">
        <f>S10/S9</f>
        <v>1</v>
      </c>
      <c r="T355">
        <f>T10/T9</f>
        <v>1</v>
      </c>
      <c r="U355">
        <f>U10/U9</f>
        <v>1</v>
      </c>
      <c r="V355">
        <f>V10/V9</f>
        <v>0.9271704284538405</v>
      </c>
      <c r="W355">
        <f>W10/W9</f>
        <v>0.9663497819623892</v>
      </c>
      <c r="X355">
        <f>X10/X9</f>
        <v>0.5535173584389992</v>
      </c>
      <c r="Y355">
        <f>Y10/Y9</f>
        <v>0.8773855825866484</v>
      </c>
      <c r="Z355">
        <f>Z10/Z9</f>
        <v>0.9052249382367171</v>
      </c>
      <c r="AA355">
        <f>AA10/AA9</f>
        <v>0.9263738998619878</v>
      </c>
      <c r="AB355">
        <f>AB10/AB9</f>
        <v>0.8614089717897333</v>
      </c>
      <c r="AC355">
        <f>AC10/AC9</f>
        <v>0.5505271556134522</v>
      </c>
      <c r="AD355">
        <f>AD10/AD9</f>
        <v>0.6370579281941087</v>
      </c>
      <c r="AE355">
        <f>AE10/AE9</f>
        <v>0.3817594884361131</v>
      </c>
      <c r="AF355">
        <f>AF10/AF9</f>
        <v>0.5925881564629617</v>
      </c>
      <c r="AG355">
        <f>AG10/AG9</f>
        <v>0.4973269117384017</v>
      </c>
      <c r="AH355">
        <f>AH10/AH9</f>
        <v>0.6152465373961219</v>
      </c>
      <c r="AI355">
        <f>AI10/AI9</f>
        <v>0.6663141013238398</v>
      </c>
      <c r="AJ355">
        <f>AJ10/AJ9</f>
        <v>0.5541909306082579</v>
      </c>
      <c r="AK355">
        <f>AK10/AK9</f>
        <v>0.5590011272500126</v>
      </c>
    </row>
    <row r="356">
      <c r="C356" t="str">
        <v xml:space="preserve"> - Renewal</v>
      </c>
      <c r="D356" t="str">
        <v>%</v>
      </c>
      <c r="F356">
        <f>H356</f>
        <v>0.2173919791305745</v>
      </c>
      <c r="H356">
        <f>SUM(Y356:Z356)</f>
        <v>0.2173919791305745</v>
      </c>
      <c r="J356">
        <f>W356</f>
        <v>0.033650218037610855</v>
      </c>
      <c r="K356">
        <f>Z356</f>
        <v>0.09477506176328285</v>
      </c>
      <c r="M356">
        <f>M11/M9</f>
        <v>0</v>
      </c>
      <c r="N356">
        <f>N11/N9</f>
        <v>0</v>
      </c>
      <c r="O356">
        <f>O11/O9</f>
        <v>0</v>
      </c>
      <c r="P356">
        <f>P11/P9</f>
        <v>0</v>
      </c>
      <c r="Q356">
        <f>Q11/Q9</f>
        <v>0</v>
      </c>
      <c r="R356">
        <f>R11/R9</f>
        <v>0</v>
      </c>
      <c r="S356">
        <f>S11/S9</f>
        <v>0</v>
      </c>
      <c r="T356">
        <f>T11/T9</f>
        <v>0</v>
      </c>
      <c r="U356">
        <f>U11/U9</f>
        <v>0</v>
      </c>
      <c r="V356">
        <f>V11/V9</f>
        <v>0.07282957154615952</v>
      </c>
      <c r="W356">
        <f>W11/W9</f>
        <v>0.033650218037610855</v>
      </c>
      <c r="X356">
        <f>X11/X9</f>
        <v>0.44648264156100087</v>
      </c>
      <c r="Y356">
        <f>Y11/Y9</f>
        <v>0.1226144174133515</v>
      </c>
      <c r="Z356">
        <f>Z11/Z9</f>
        <v>0.09477506176328285</v>
      </c>
      <c r="AA356">
        <f>AA11/AA9</f>
        <v>0.07362610013801217</v>
      </c>
      <c r="AB356">
        <f>AB11/AB9</f>
        <v>0.1385910282102667</v>
      </c>
      <c r="AC356">
        <f>AC11/AC9</f>
        <v>0.4494728443865477</v>
      </c>
      <c r="AD356">
        <f>AD11/AD9</f>
        <v>0.36294207180589133</v>
      </c>
      <c r="AE356">
        <f>AE11/AE9</f>
        <v>0.6182405115638868</v>
      </c>
      <c r="AF356">
        <f>AF11/AF9</f>
        <v>0.40741184353703835</v>
      </c>
      <c r="AG356">
        <f>AG11/AG9</f>
        <v>0.5026730882615983</v>
      </c>
      <c r="AH356">
        <f>AH11/AH9</f>
        <v>0.3847534626038781</v>
      </c>
      <c r="AI356">
        <f>AI11/AI9</f>
        <v>0.3336858986761601</v>
      </c>
      <c r="AJ356">
        <f>AJ11/AJ9</f>
        <v>0.44580906939174214</v>
      </c>
      <c r="AK356">
        <f>AK11/AK9</f>
        <v>0.44099887274998745</v>
      </c>
    </row>
    <row r="357">
      <c r="H357">
        <f>SUM(Y357:Z357)</f>
        <v>0</v>
      </c>
    </row>
    <row r="358">
      <c r="C358" t="str">
        <v>Taiping Product</v>
      </c>
      <c r="D358" t="str">
        <v>%</v>
      </c>
      <c r="F358">
        <f>H358</f>
        <v>0.5263347218780265</v>
      </c>
      <c r="H358">
        <f>SUM(Y358:Z358)</f>
        <v>0.5263347218780265</v>
      </c>
      <c r="J358">
        <f>W358</f>
        <v>0.23755365594159297</v>
      </c>
      <c r="K358">
        <f>Z358</f>
        <v>0.24327162304061148</v>
      </c>
      <c r="M358">
        <f>M14/M10</f>
        <v>1</v>
      </c>
      <c r="N358">
        <f>N14/N10</f>
        <v>1</v>
      </c>
      <c r="O358">
        <f>O14/O10</f>
        <v>0.9961132150687662</v>
      </c>
      <c r="P358">
        <f>P14/P10</f>
        <v>0.9782919646613378</v>
      </c>
      <c r="Q358">
        <f>Q14/Q10</f>
        <v>0.19043565456394868</v>
      </c>
      <c r="R358">
        <f>R14/R10</f>
        <v>0.07347895165489526</v>
      </c>
      <c r="S358">
        <f>S14/S10</f>
        <v>0.04437802144175194</v>
      </c>
      <c r="T358">
        <f>T14/T10</f>
        <v>0.543741194058708</v>
      </c>
      <c r="U358">
        <f>U14/U10</f>
        <v>0.28764569261255885</v>
      </c>
      <c r="V358">
        <f>V14/V10</f>
        <v>0.25514119674093977</v>
      </c>
      <c r="W358">
        <f>W14/W10</f>
        <v>0.23755365594159297</v>
      </c>
      <c r="X358">
        <f>X14/X10</f>
        <v>0.24992041371872584</v>
      </c>
      <c r="Y358">
        <f>Y14/Y10</f>
        <v>0.28306254238787487</v>
      </c>
      <c r="Z358">
        <f>Z14/Z10</f>
        <v>0.24327162304061148</v>
      </c>
      <c r="AA358">
        <f>AA14/AA10</f>
        <v>0.1850784470799711</v>
      </c>
      <c r="AB358">
        <f>AB14/AB10</f>
        <v>0.18912089563991152</v>
      </c>
      <c r="AC358">
        <f>AC14/AC10</f>
        <v>0.17228476685634747</v>
      </c>
      <c r="AD358">
        <f>AD14/AD10</f>
        <v>0.18451084283164448</v>
      </c>
      <c r="AE358">
        <f>AE14/AE10</f>
        <v>0.3916087308003234</v>
      </c>
      <c r="AF358">
        <f>AF14/AF10</f>
        <v>0.19010399783385518</v>
      </c>
      <c r="AG358">
        <f>AG14/AG10</f>
        <v>0.2520414008072358</v>
      </c>
      <c r="AH358">
        <f>AH14/AH10</f>
        <v>0.16924683931851744</v>
      </c>
      <c r="AI358">
        <f>AI14/AI10</f>
        <v>0.12257698164829775</v>
      </c>
      <c r="AJ358">
        <f>AJ14/AJ10</f>
        <v>0.15835643926811246</v>
      </c>
    </row>
    <row r="359">
      <c r="C359" t="str">
        <v xml:space="preserve"> - Online channel</v>
      </c>
      <c r="D359" t="str">
        <v>%</v>
      </c>
      <c r="F359">
        <f>H359</f>
        <v>1.5817697738670817</v>
      </c>
      <c r="H359">
        <f>SUM(Y359:Z359)</f>
        <v>1.5817697738670817</v>
      </c>
      <c r="J359">
        <f>W359</f>
        <v>0.8563485934914506</v>
      </c>
      <c r="K359">
        <f>Z359</f>
        <v>0.7658267226629336</v>
      </c>
      <c r="M359">
        <f>M16/M14</f>
        <v>1</v>
      </c>
      <c r="N359">
        <f>N16/N14</f>
        <v>1</v>
      </c>
      <c r="O359">
        <f>O16/O14</f>
        <v>0.8196848424212106</v>
      </c>
      <c r="P359">
        <f>P16/P14</f>
        <v>0.31319342908746883</v>
      </c>
      <c r="Q359">
        <f>Q16/Q14</f>
        <v>0.16474732934313205</v>
      </c>
      <c r="R359">
        <f>R16/R14</f>
        <v>0.1916507676932861</v>
      </c>
      <c r="S359">
        <f>S16/S14</f>
        <v>1.607529209621993</v>
      </c>
      <c r="T359">
        <f>T16/T14</f>
        <v>0.1564249202321931</v>
      </c>
      <c r="U359">
        <f>U16/U14</f>
        <v>0.7926960257787325</v>
      </c>
      <c r="V359">
        <f>V16/V14</f>
        <v>0.7590879956047981</v>
      </c>
      <c r="W359">
        <f>W16/W14</f>
        <v>0.8563485934914506</v>
      </c>
      <c r="X359">
        <f>X16/X14</f>
        <v>0.7934906935634813</v>
      </c>
      <c r="Y359">
        <f>Y16/Y14</f>
        <v>0.8159279129121308</v>
      </c>
      <c r="Z359">
        <f>Z16/Z14</f>
        <v>0.7658267226629336</v>
      </c>
      <c r="AA359">
        <f>AA16/AA14</f>
        <v>0.8087622063869094</v>
      </c>
      <c r="AB359">
        <f>AB16/AB14</f>
        <v>0.8545420136260409</v>
      </c>
      <c r="AC359">
        <f>AC16/AC14</f>
        <v>0.9144092766847258</v>
      </c>
      <c r="AD359">
        <f>AD16/AD14</f>
        <v>0.8621700879765396</v>
      </c>
      <c r="AE359">
        <f>AE16/AE14</f>
        <v>0.8799388959993394</v>
      </c>
      <c r="AF359">
        <f>AF16/AF14</f>
        <v>0.9765790344744576</v>
      </c>
      <c r="AG359">
        <f>AG16/AG14</f>
        <v>0.9053961207124359</v>
      </c>
      <c r="AH359">
        <f>AH16/AH14</f>
        <v>0.8952072869668851</v>
      </c>
      <c r="AI359">
        <f>AI16/AI14</f>
        <v>0.9720467466835123</v>
      </c>
      <c r="AJ359">
        <f>AJ16/AJ14</f>
        <v>0.9709319748276896</v>
      </c>
    </row>
    <row r="360">
      <c r="C360" t="str">
        <v xml:space="preserve"> - CTG channel</v>
      </c>
      <c r="D360" t="str">
        <v>%</v>
      </c>
      <c r="F360">
        <f>H360</f>
        <v>0.41823022613291827</v>
      </c>
      <c r="H360">
        <f>SUM(Y360:Z360)</f>
        <v>0.41823022613291827</v>
      </c>
      <c r="J360">
        <f>W360</f>
        <v>0.14365140650854938</v>
      </c>
      <c r="K360">
        <f>Z360</f>
        <v>0.23417327733706642</v>
      </c>
      <c r="M360">
        <f>M23/M14</f>
        <v>0</v>
      </c>
      <c r="N360">
        <f>N23/N14</f>
        <v>0</v>
      </c>
      <c r="O360">
        <f>O23/O14</f>
        <v>0.18031515757878938</v>
      </c>
      <c r="P360">
        <f>P23/P14</f>
        <v>0.6868065709125312</v>
      </c>
      <c r="Q360">
        <f>Q23/Q14</f>
        <v>0.8352526706568679</v>
      </c>
      <c r="R360">
        <f>R23/R14</f>
        <v>4.712347596983737</v>
      </c>
      <c r="S360">
        <f>S23/S14</f>
        <v>3.3923024054982815</v>
      </c>
      <c r="T360">
        <f>T23/T14</f>
        <v>0.04357029408533387</v>
      </c>
      <c r="U360">
        <f>U23/U14</f>
        <v>0.20730397422126745</v>
      </c>
      <c r="V360">
        <f>V23/V14</f>
        <v>0.2409120043952019</v>
      </c>
      <c r="W360">
        <f>W23/W14</f>
        <v>0.14365140650854938</v>
      </c>
      <c r="X360">
        <f>X23/X14</f>
        <v>0.20650930643651866</v>
      </c>
      <c r="Y360">
        <f>Y23/Y14</f>
        <v>0.18407208708786915</v>
      </c>
      <c r="Z360">
        <f>Z23/Z14</f>
        <v>0.23417327733706642</v>
      </c>
      <c r="AA360">
        <f>AA23/AA14</f>
        <v>0.1912377936130905</v>
      </c>
      <c r="AB360">
        <f>AB23/AB14</f>
        <v>0.14545798637395913</v>
      </c>
      <c r="AC360">
        <f>AC23/AC14</f>
        <v>0.08559072331527422</v>
      </c>
      <c r="AD360">
        <f>AD23/AD14</f>
        <v>0.1378299120234604</v>
      </c>
      <c r="AE360">
        <f>AE23/AE14</f>
        <v>0.12006110400066058</v>
      </c>
      <c r="AF360">
        <f>AF23/AF14</f>
        <v>0.023420965525542393</v>
      </c>
      <c r="AG360">
        <f>AG23/AG14</f>
        <v>0.09460387928756409</v>
      </c>
      <c r="AH360">
        <f>AH23/AH14</f>
        <v>0.10479271303311484</v>
      </c>
      <c r="AI360">
        <f>AI23/AI14</f>
        <v>0.02795325331648768</v>
      </c>
      <c r="AJ360">
        <f>AJ23/AJ14</f>
        <v>0.02906802517231046</v>
      </c>
    </row>
    <row r="361">
      <c r="C361" t="str">
        <v>PICC Product</v>
      </c>
      <c r="D361" t="str">
        <v>%</v>
      </c>
      <c r="F361">
        <f>H361</f>
        <v>1.4736652781219735</v>
      </c>
      <c r="H361">
        <f>SUM(Y361:Z361)</f>
        <v>1.4736652781219735</v>
      </c>
      <c r="J361">
        <f>W361</f>
        <v>0.762446344058407</v>
      </c>
      <c r="K361">
        <f>Z361</f>
        <v>0.7567283769593885</v>
      </c>
      <c r="M361">
        <f>M60/M10</f>
        <v>0</v>
      </c>
      <c r="N361">
        <f>N60/N10</f>
        <v>0</v>
      </c>
      <c r="O361">
        <f>O60/O10</f>
        <v>0.0038867849312338052</v>
      </c>
      <c r="P361">
        <f>P60/P10</f>
        <v>0.02170803533866218</v>
      </c>
      <c r="Q361">
        <f>Q60/Q10</f>
        <v>0.8095643454360514</v>
      </c>
      <c r="R361">
        <f>R60/R10</f>
        <v>0.9265210483451047</v>
      </c>
      <c r="S361">
        <f>S60/S10</f>
        <v>0.955621978558248</v>
      </c>
      <c r="T361">
        <f>T60/T10</f>
        <v>0.45625880594129187</v>
      </c>
      <c r="U361">
        <f>U60/U10</f>
        <v>0.7123543073874411</v>
      </c>
      <c r="V361">
        <f>V60/V10</f>
        <v>0.7448588032590603</v>
      </c>
      <c r="W361">
        <f>W60/W10</f>
        <v>0.762446344058407</v>
      </c>
      <c r="X361">
        <f>X60/X10</f>
        <v>0.7500795862812741</v>
      </c>
      <c r="Y361">
        <f>Y60/Y10</f>
        <v>0.7169374576121251</v>
      </c>
      <c r="Z361">
        <f>Z60/Z10</f>
        <v>0.7567283769593885</v>
      </c>
      <c r="AA361">
        <f>AA60/AA10</f>
        <v>0.8149215529200289</v>
      </c>
      <c r="AB361">
        <f>AB60/AB10</f>
        <v>0.8108791043600885</v>
      </c>
      <c r="AC361">
        <f>AC60/AC10</f>
        <v>0.8277152331436525</v>
      </c>
      <c r="AD361">
        <f>AD60/AD10</f>
        <v>0.8154891571683555</v>
      </c>
      <c r="AE361">
        <f>AE60/AE10</f>
        <v>0.6083912691996767</v>
      </c>
      <c r="AF361">
        <f>AF60/AF10</f>
        <v>0.8098960021661449</v>
      </c>
      <c r="AG361">
        <f>AG60/AG10</f>
        <v>0.7479585991927642</v>
      </c>
      <c r="AH361">
        <f>AH60/AH10</f>
        <v>0.8307531606814825</v>
      </c>
      <c r="AI361">
        <f>AI60/AI10</f>
        <v>0.8774230183517022</v>
      </c>
      <c r="AJ361">
        <f>AJ60/AJ10</f>
        <v>0.8416435607318875</v>
      </c>
    </row>
    <row r="362">
      <c r="C362" t="str">
        <v xml:space="preserve"> - Online channel</v>
      </c>
      <c r="D362" t="str">
        <v>%</v>
      </c>
      <c r="F362">
        <f>H362</f>
        <v>0.8306679490445998</v>
      </c>
      <c r="H362">
        <f>SUM(Y362:Z362)</f>
        <v>0.8306679490445998</v>
      </c>
      <c r="J362">
        <f>W362</f>
        <v>0.4111525083520079</v>
      </c>
      <c r="K362">
        <f>Z362</f>
        <v>0.40950458165089443</v>
      </c>
      <c r="M362" t="e">
        <f>M62/M60</f>
        <v>#DIV/0!</v>
      </c>
      <c r="N362" t="e">
        <f>N62/N60</f>
        <v>#DIV/0!</v>
      </c>
      <c r="O362">
        <f>O62/O60</f>
        <v>0</v>
      </c>
      <c r="P362">
        <f>P62/P60</f>
        <v>0</v>
      </c>
      <c r="Q362">
        <f>Q62/Q60</f>
        <v>0.21831920941713226</v>
      </c>
      <c r="R362">
        <f>R62/R60</f>
        <v>0.22701039692775468</v>
      </c>
      <c r="S362">
        <f>S62/S60</f>
        <v>0.30318795248658165</v>
      </c>
      <c r="T362">
        <f>T62/T60</f>
        <v>0.3943359662463818</v>
      </c>
      <c r="U362">
        <f>U62/U60</f>
        <v>0.4070562194337676</v>
      </c>
      <c r="V362">
        <f>V62/V60</f>
        <v>0.43148724623816953</v>
      </c>
      <c r="W362">
        <f>W62/W60</f>
        <v>0.4111525083520079</v>
      </c>
      <c r="X362">
        <f>X62/X60</f>
        <v>0.4237914995712541</v>
      </c>
      <c r="Y362">
        <f>Y62/Y60</f>
        <v>0.4211651962901269</v>
      </c>
      <c r="Z362">
        <f>Z62/Z60</f>
        <v>0.40950458165089443</v>
      </c>
      <c r="AA362">
        <f>AA62/AA60</f>
        <v>0.3767697231979093</v>
      </c>
      <c r="AB362">
        <f>AB62/AB60</f>
        <v>0.40816038277174055</v>
      </c>
      <c r="AC362">
        <f>AC62/AC60</f>
        <v>0.43973371054375676</v>
      </c>
      <c r="AD362">
        <f>AD62/AD60</f>
        <v>0.41186912424923955</v>
      </c>
      <c r="AE362">
        <f>AE62/AE60</f>
        <v>0.5346142602779771</v>
      </c>
      <c r="AF362">
        <f>AF62/AF60</f>
        <v>0.4446681122671206</v>
      </c>
      <c r="AG362">
        <f>AG62/AG60</f>
        <v>0.34781834372217274</v>
      </c>
      <c r="AH362">
        <f>AH62/AH60</f>
        <v>0.25265996652821254</v>
      </c>
      <c r="AI362">
        <f>AI62/AI60</f>
        <v>0.19088662705183268</v>
      </c>
      <c r="AJ362">
        <f>AJ62/AJ60</f>
        <v>0.1734514699959726</v>
      </c>
    </row>
    <row r="363">
      <c r="C363" t="str">
        <v xml:space="preserve"> - CTG channel</v>
      </c>
      <c r="D363" t="str">
        <v>%</v>
      </c>
      <c r="F363">
        <f>H363</f>
        <v>1.1693320509554002</v>
      </c>
      <c r="H363">
        <f>SUM(Y363:Z363)</f>
        <v>1.1693320509554002</v>
      </c>
      <c r="J363">
        <f>W363</f>
        <v>0.5888474916479921</v>
      </c>
      <c r="K363">
        <f>Z363</f>
        <v>0.5904954183491056</v>
      </c>
      <c r="M363" t="e">
        <f>M69/M60</f>
        <v>#DIV/0!</v>
      </c>
      <c r="N363" t="e">
        <f>N69/N60</f>
        <v>#DIV/0!</v>
      </c>
      <c r="O363">
        <f>O69/O60</f>
        <v>0</v>
      </c>
      <c r="P363">
        <f>P69/P60</f>
        <v>0</v>
      </c>
      <c r="Q363">
        <f>Q69/Q60</f>
        <v>0.7816807905828678</v>
      </c>
      <c r="R363">
        <f>R69/R60</f>
        <v>0.7729896030722453</v>
      </c>
      <c r="S363">
        <f>S69/S60</f>
        <v>0.6968120475134183</v>
      </c>
      <c r="T363">
        <f>T69/T60</f>
        <v>0.6056701663150664</v>
      </c>
      <c r="U363">
        <f>U69/U60</f>
        <v>0.5929437805662324</v>
      </c>
      <c r="V363">
        <f>V69/V60</f>
        <v>0.5685127537618304</v>
      </c>
      <c r="W363">
        <f>W69/W60</f>
        <v>0.5888474916479921</v>
      </c>
      <c r="X363">
        <f>X69/X60</f>
        <v>0.5762085004287459</v>
      </c>
      <c r="Y363">
        <f>Y69/Y60</f>
        <v>0.5788348037098732</v>
      </c>
      <c r="Z363">
        <f>Z69/Z60</f>
        <v>0.5904954183491056</v>
      </c>
      <c r="AA363">
        <f>AA69/AA60</f>
        <v>0.6232302768020908</v>
      </c>
      <c r="AB363">
        <f>AB69/AB60</f>
        <v>0.5918396172282594</v>
      </c>
      <c r="AC363">
        <f>AC69/AC60</f>
        <v>0.5602662894562432</v>
      </c>
      <c r="AD363">
        <f>AD69/AD60</f>
        <v>0.5881308757507605</v>
      </c>
      <c r="AE363">
        <f>AE69/AE60</f>
        <v>0.4653857397220229</v>
      </c>
      <c r="AF363">
        <f>AF69/AF60</f>
        <v>0.5553318877328793</v>
      </c>
      <c r="AG363">
        <f>AG69/AG60</f>
        <v>0.6521816562778272</v>
      </c>
      <c r="AH363">
        <f>AH69/AH60</f>
        <v>0.7473400334717875</v>
      </c>
      <c r="AI363">
        <f>AI69/AI60</f>
        <v>0.8091133729481673</v>
      </c>
      <c r="AJ363">
        <f>AJ69/AJ60</f>
        <v>0.8265485300040274</v>
      </c>
    </row>
    <row r="364">
      <c r="C364" t="str">
        <v xml:space="preserve">    -- Offline</v>
      </c>
      <c r="D364" t="str">
        <v>%</v>
      </c>
      <c r="F364">
        <f>H364</f>
        <v>23</v>
      </c>
      <c r="H364" t="e">
        <f>SUM(Y364:Z364)</f>
        <v>#REF!</v>
      </c>
      <c r="J364">
        <f>W364</f>
        <v>23</v>
      </c>
      <c r="K364">
        <f>X364</f>
        <v>0</v>
      </c>
      <c r="M364" t="e">
        <f>#REF!/M60</f>
        <v>#REF!</v>
      </c>
      <c r="N364" t="e">
        <f>#REF!/N60</f>
        <v>#REF!</v>
      </c>
      <c r="O364" t="e">
        <f>#REF!/O60</f>
        <v>#REF!</v>
      </c>
      <c r="P364" t="e">
        <f>#REF!/P60</f>
        <v>#REF!</v>
      </c>
      <c r="Q364" t="e">
        <f>#REF!/Q60</f>
        <v>#REF!</v>
      </c>
      <c r="R364" t="e">
        <f>#REF!/R60</f>
        <v>#REF!</v>
      </c>
      <c r="S364" t="e">
        <f>#REF!/S60</f>
        <v>#REF!</v>
      </c>
      <c r="T364" t="e">
        <f>#REF!/T60</f>
        <v>#REF!</v>
      </c>
      <c r="U364" t="e">
        <f>#REF!/U60</f>
        <v>#REF!</v>
      </c>
      <c r="V364" t="e">
        <f>#REF!/V60</f>
        <v>#REF!</v>
      </c>
      <c r="W364" t="e">
        <f>#REF!/W60</f>
        <v>#REF!</v>
      </c>
      <c r="X364" t="str">
        <v>N/A</v>
      </c>
      <c r="Y364" t="e">
        <f>#REF!/Y60</f>
        <v>#REF!</v>
      </c>
      <c r="Z364" t="e">
        <f>#REF!/Z60</f>
        <v>#REF!</v>
      </c>
      <c r="AA364" t="e">
        <f>#REF!/AA60</f>
        <v>#REF!</v>
      </c>
      <c r="AB364" t="e">
        <f>#REF!/AB60</f>
        <v>#REF!</v>
      </c>
      <c r="AC364" t="e">
        <f>#REF!/AC60</f>
        <v>#REF!</v>
      </c>
      <c r="AD364" t="e">
        <f>#REF!/AD60</f>
        <v>#REF!</v>
      </c>
      <c r="AE364" t="e">
        <f>#REF!/AE60</f>
        <v>#REF!</v>
      </c>
      <c r="AF364" t="e">
        <f>#REF!/AF60</f>
        <v>#REF!</v>
      </c>
      <c r="AG364" t="e">
        <f>#REF!/AG60</f>
        <v>#REF!</v>
      </c>
      <c r="AH364" t="e">
        <f>#REF!/AH60</f>
        <v>#REF!</v>
      </c>
      <c r="AI364" t="e">
        <f>#REF!/AI60</f>
        <v>#REF!</v>
      </c>
      <c r="AJ364" t="str">
        <v>N/A</v>
      </c>
    </row>
    <row r="365">
      <c r="C365" t="str">
        <v>Taiping Renewal</v>
      </c>
      <c r="D365" t="str">
        <v>%</v>
      </c>
      <c r="M365" t="e">
        <f>M111/M11</f>
        <v>#DIV/0!</v>
      </c>
      <c r="N365" t="e">
        <f>N111/N11</f>
        <v>#DIV/0!</v>
      </c>
      <c r="O365" t="e">
        <f>O111/O11</f>
        <v>#DIV/0!</v>
      </c>
      <c r="P365" t="e">
        <f>P111/P11</f>
        <v>#DIV/0!</v>
      </c>
      <c r="Q365" t="e">
        <f>Q111/Q11</f>
        <v>#DIV/0!</v>
      </c>
      <c r="R365" t="e">
        <f>R111/R11</f>
        <v>#DIV/0!</v>
      </c>
      <c r="S365" t="e">
        <f>S111/S11</f>
        <v>#DIV/0!</v>
      </c>
      <c r="T365" t="e">
        <f>T111/T11</f>
        <v>#DIV/0!</v>
      </c>
      <c r="U365" t="e">
        <f>U111/U11</f>
        <v>#DIV/0!</v>
      </c>
      <c r="V365">
        <f>V111/V11</f>
        <v>1</v>
      </c>
      <c r="W365">
        <f>W111/W11</f>
        <v>1</v>
      </c>
      <c r="X365">
        <f>X111/X11</f>
        <v>1</v>
      </c>
      <c r="Y365">
        <f>Y111/Y11</f>
        <v>1</v>
      </c>
      <c r="Z365">
        <f>Z111/Z11</f>
        <v>1</v>
      </c>
      <c r="AA365">
        <f>AA111/AA11</f>
        <v>1</v>
      </c>
      <c r="AB365">
        <f>AB111/AB11</f>
        <v>0.38841430859583553</v>
      </c>
      <c r="AC365">
        <f>AC111/AC11</f>
        <v>0.05964940430823539</v>
      </c>
      <c r="AD365">
        <f>AD111/AD11</f>
        <v>0.05871179416335693</v>
      </c>
      <c r="AE365">
        <f>AE111/AE11</f>
        <v>0.20726216267484002</v>
      </c>
      <c r="AF365">
        <f>AF111/AF11</f>
        <v>0.3051601004007711</v>
      </c>
      <c r="AG365">
        <f>AG111/AG11</f>
        <v>0.1733572313450539</v>
      </c>
      <c r="AH365">
        <f>AH111/AH11</f>
        <v>0.23091809699343394</v>
      </c>
      <c r="AI365">
        <f>AI111/AI11</f>
        <v>0.37400301511422646</v>
      </c>
      <c r="AJ365">
        <f>AJ111/AJ11</f>
        <v>0.37992263675512594</v>
      </c>
    </row>
    <row r="366">
      <c r="C366" t="str">
        <v>PICC Renewal</v>
      </c>
      <c r="D366" t="str">
        <v>%</v>
      </c>
      <c r="M366" t="e">
        <f>M112/M11</f>
        <v>#DIV/0!</v>
      </c>
      <c r="N366" t="e">
        <f>N112/N11</f>
        <v>#DIV/0!</v>
      </c>
      <c r="O366" t="e">
        <f>O112/O11</f>
        <v>#DIV/0!</v>
      </c>
      <c r="P366" t="e">
        <f>P112/P11</f>
        <v>#DIV/0!</v>
      </c>
      <c r="Q366" t="e">
        <f>Q112/Q11</f>
        <v>#DIV/0!</v>
      </c>
      <c r="R366" t="e">
        <f>R112/R11</f>
        <v>#DIV/0!</v>
      </c>
      <c r="S366" t="e">
        <f>S112/S11</f>
        <v>#DIV/0!</v>
      </c>
      <c r="T366" t="e">
        <f>T112/T11</f>
        <v>#DIV/0!</v>
      </c>
      <c r="U366" t="e">
        <f>U112/U11</f>
        <v>#DIV/0!</v>
      </c>
      <c r="V366">
        <f>V112/V11</f>
        <v>0</v>
      </c>
      <c r="W366">
        <f>W112/W11</f>
        <v>0</v>
      </c>
      <c r="X366">
        <f>X112/X11</f>
        <v>0</v>
      </c>
      <c r="Y366">
        <f>Y112/Y11</f>
        <v>0</v>
      </c>
      <c r="Z366">
        <f>Z112/Z11</f>
        <v>0</v>
      </c>
      <c r="AA366">
        <f>AA112/AA11</f>
        <v>0</v>
      </c>
      <c r="AB366">
        <f>AB112/AB11</f>
        <v>0.6115856914041644</v>
      </c>
      <c r="AC366">
        <f>AC112/AC11</f>
        <v>0.9403505956917646</v>
      </c>
      <c r="AD366">
        <f>AD112/AD11</f>
        <v>0.9412882058366431</v>
      </c>
      <c r="AE366">
        <f>AE112/AE11</f>
        <v>0.79273783732516</v>
      </c>
      <c r="AF366">
        <f>AF112/AF11</f>
        <v>0.694839899599229</v>
      </c>
      <c r="AG366">
        <f>AG112/AG11</f>
        <v>0.8266427686549461</v>
      </c>
      <c r="AH366">
        <f>AH112/AH11</f>
        <v>0.7690819030065661</v>
      </c>
      <c r="AI366">
        <f>AI112/AI11</f>
        <v>0.6259969848857736</v>
      </c>
      <c r="AJ366">
        <f>AJ112/AJ11</f>
        <v>0.6200773632448741</v>
      </c>
    </row>
    <row r="367">
      <c r="H367">
        <f>SUM(Y367:Z367)</f>
        <v>0</v>
      </c>
    </row>
    <row r="368">
      <c r="C368" t="str">
        <v>Total Commission</v>
      </c>
      <c r="D368" t="str">
        <v>$</v>
      </c>
      <c r="F368">
        <f>H368</f>
        <v>2120967.123367199</v>
      </c>
      <c r="H368">
        <f>SUM(Y368:AJ368)</f>
        <v>2120967.123367199</v>
      </c>
      <c r="J368">
        <f>W368</f>
        <v>115921.25943396226</v>
      </c>
      <c r="K368">
        <f>Z368</f>
        <v>131589.39150943398</v>
      </c>
      <c r="M368">
        <f>M369+M370</f>
        <v>19945.25</v>
      </c>
      <c r="N368">
        <f>N369+N370</f>
        <v>20646.75</v>
      </c>
      <c r="O368">
        <f>O369+O370</f>
        <v>30008</v>
      </c>
      <c r="P368">
        <f>P369+P370</f>
        <v>17463.5</v>
      </c>
      <c r="Q368">
        <f>Q369+Q370</f>
        <v>26584.5</v>
      </c>
      <c r="R368">
        <f>R369+R370</f>
        <v>26841.75</v>
      </c>
      <c r="S368">
        <f>S369+S370</f>
        <v>34922.5</v>
      </c>
      <c r="T368">
        <f>T369+T370</f>
        <v>74465.4125</v>
      </c>
      <c r="U368">
        <f>U369+U370</f>
        <v>108117.09433962264</v>
      </c>
      <c r="V368">
        <f>V369+V370</f>
        <v>104517.5896226415</v>
      </c>
      <c r="W368">
        <f>W369+W370</f>
        <v>115921.25943396226</v>
      </c>
      <c r="X368">
        <f>X369+X370</f>
        <v>122344.6933962264</v>
      </c>
      <c r="Y368">
        <f>Y369+Y370</f>
        <v>124725.65566037735</v>
      </c>
      <c r="Z368">
        <f>Z369+Z370</f>
        <v>131589.39150943398</v>
      </c>
      <c r="AA368">
        <f>AA369+AA370</f>
        <v>131583.8820754717</v>
      </c>
      <c r="AB368">
        <f>AB369+AB370</f>
        <v>90882.64150943395</v>
      </c>
      <c r="AC368">
        <f>AC369+AC370</f>
        <v>91544.48113207547</v>
      </c>
      <c r="AD368">
        <f>AD369+AD370</f>
        <v>100663.54245283018</v>
      </c>
      <c r="AE368">
        <f>AE369+AE370</f>
        <v>49106.382075471694</v>
      </c>
      <c r="AF368">
        <f>AF369+AF370</f>
        <v>176446.47714078374</v>
      </c>
      <c r="AG368">
        <f>AG369+AG370</f>
        <v>56623.41981132075</v>
      </c>
      <c r="AH368">
        <f>AH369+AH370</f>
        <v>101927.78301886792</v>
      </c>
      <c r="AI368">
        <f>AI369+AI370</f>
        <v>115090.16981132074</v>
      </c>
      <c r="AJ368">
        <f>AJ369+AJ370</f>
        <v>115364.07075471699</v>
      </c>
    </row>
    <row r="369">
      <c r="C369" t="str">
        <v xml:space="preserve"> - New Sales</v>
      </c>
      <c r="D369" t="str">
        <v>$</v>
      </c>
      <c r="E369">
        <v>184060</v>
      </c>
      <c r="F369">
        <f>H369</f>
        <v>1413663.3361756168</v>
      </c>
      <c r="H369">
        <f>SUM(Y369:AJ369)</f>
        <v>1413663.3361756168</v>
      </c>
      <c r="J369">
        <f>W369</f>
        <v>114260.25943396226</v>
      </c>
      <c r="K369">
        <f>Z369</f>
        <v>126055.64150943396</v>
      </c>
      <c r="M369">
        <f>M373+M376</f>
        <v>19945.25</v>
      </c>
      <c r="N369">
        <f>N373+N376</f>
        <v>20646.75</v>
      </c>
      <c r="O369">
        <f>O373+O376</f>
        <v>30008</v>
      </c>
      <c r="P369">
        <f>P373+P376</f>
        <v>17463.5</v>
      </c>
      <c r="Q369">
        <f>Q373+Q376</f>
        <v>26584.5</v>
      </c>
      <c r="R369">
        <f>R373+R376</f>
        <v>26841.75</v>
      </c>
      <c r="S369">
        <f>S373+S376</f>
        <v>34922.5</v>
      </c>
      <c r="T369">
        <f>T373+T376</f>
        <v>74465.4125</v>
      </c>
      <c r="U369">
        <f>U373+U376</f>
        <v>108117.09433962264</v>
      </c>
      <c r="V369">
        <f>V373+V376</f>
        <v>101155.3396226415</v>
      </c>
      <c r="W369">
        <f>W373+W376</f>
        <v>114260.25943396226</v>
      </c>
      <c r="X369">
        <f>X373+X376</f>
        <v>91305.4433962264</v>
      </c>
      <c r="Y369">
        <f>Y373+Y376</f>
        <v>117616.65566037735</v>
      </c>
      <c r="Z369">
        <f>Z373+Z376</f>
        <v>126055.64150943396</v>
      </c>
      <c r="AA369">
        <f>AA373+AA376</f>
        <v>127516.13207547169</v>
      </c>
      <c r="AB369">
        <f>AB373+AB376</f>
        <v>86754.95283018866</v>
      </c>
      <c r="AC369">
        <f>AC373+AC376</f>
        <v>76788.42452830188</v>
      </c>
      <c r="AD369">
        <f>AD373+AD376</f>
        <v>88674.39150943396</v>
      </c>
      <c r="AE369">
        <f>AE373+AE376</f>
        <v>32680.108490566035</v>
      </c>
      <c r="AF369">
        <f>AF373+AF376</f>
        <v>101380.18523222061</v>
      </c>
      <c r="AG369">
        <f>AG373+AG376</f>
        <v>44458.882075471694</v>
      </c>
      <c r="AH369">
        <f>AH373+AH376</f>
        <v>87468.54716981131</v>
      </c>
      <c r="AI369">
        <f>AI373+AI376</f>
        <v>100958.71698113206</v>
      </c>
      <c r="AJ369">
        <f>AJ373+AJ376</f>
        <v>93681.44811320755</v>
      </c>
    </row>
    <row r="370">
      <c r="C370" t="str">
        <v xml:space="preserve"> - Renewal</v>
      </c>
      <c r="D370" t="str">
        <v>$</v>
      </c>
      <c r="F370">
        <f>H370</f>
        <v>707303.7871915819</v>
      </c>
      <c r="H370">
        <f>SUM(Y370:AJ370)</f>
        <v>707303.7871915819</v>
      </c>
      <c r="J370">
        <f>W370</f>
        <v>1661</v>
      </c>
      <c r="K370">
        <f>Z370</f>
        <v>5533.75</v>
      </c>
      <c r="V370">
        <f>V11*0.25</f>
        <v>3362.25</v>
      </c>
      <c r="W370">
        <f>W11*0.25</f>
        <v>1661</v>
      </c>
      <c r="X370">
        <f>X11*0.25</f>
        <v>31039.25</v>
      </c>
      <c r="Y370">
        <f>Y381+Y384</f>
        <v>7109</v>
      </c>
      <c r="Z370">
        <f>Z381+Z384</f>
        <v>5533.75</v>
      </c>
      <c r="AA370">
        <f>AA381+AA384</f>
        <v>4067.75</v>
      </c>
      <c r="AB370">
        <f>AB381+AB384</f>
        <v>4127.688679245283</v>
      </c>
      <c r="AC370">
        <f>AC381+AC384</f>
        <v>14756.056603773583</v>
      </c>
      <c r="AD370">
        <f>AD381+AD384</f>
        <v>11989.150943396226</v>
      </c>
      <c r="AE370">
        <f>AE381+AE384</f>
        <v>16426.27358490566</v>
      </c>
      <c r="AF370">
        <f>AF381+AF384</f>
        <v>75066.29190856314</v>
      </c>
      <c r="AG370">
        <f>AG381+AG384</f>
        <v>12164.537735849057</v>
      </c>
      <c r="AH370">
        <f>AH381+AH384</f>
        <v>14459.235849056604</v>
      </c>
      <c r="AI370">
        <f>AI381+AI384</f>
        <v>14131.452830188678</v>
      </c>
      <c r="AJ370">
        <f>AJ381+AJ384</f>
        <v>21682.622641509435</v>
      </c>
    </row>
    <row r="371">
      <c r="H371">
        <f>SUM(Y371:Z371)</f>
        <v>0</v>
      </c>
    </row>
    <row r="372">
      <c r="C372" t="str">
        <v>Commission Breakup</v>
      </c>
      <c r="D372" t="str">
        <v>$</v>
      </c>
      <c r="F372">
        <f>H372</f>
        <v>352701.2971698113</v>
      </c>
      <c r="H372">
        <f>SUM(Y372:Z372)</f>
        <v>352701.2971698113</v>
      </c>
      <c r="J372">
        <f>W372</f>
        <v>114260.25943396226</v>
      </c>
      <c r="K372">
        <f>Z372</f>
        <v>126055.64150943396</v>
      </c>
      <c r="M372">
        <f>M373+M376</f>
        <v>19945.25</v>
      </c>
      <c r="N372">
        <f>N373+N376</f>
        <v>20646.75</v>
      </c>
      <c r="O372">
        <f>O373+O376</f>
        <v>30008</v>
      </c>
      <c r="P372">
        <f>P373+P376</f>
        <v>17463.5</v>
      </c>
      <c r="Q372">
        <f>Q373+Q376</f>
        <v>26584.5</v>
      </c>
      <c r="R372">
        <f>R373+R376</f>
        <v>26841.75</v>
      </c>
      <c r="S372">
        <f>S373+S376</f>
        <v>34922.5</v>
      </c>
      <c r="T372">
        <f>T373+T376</f>
        <v>74465.4125</v>
      </c>
      <c r="U372">
        <f>U373+U376</f>
        <v>108117.09433962264</v>
      </c>
      <c r="V372">
        <f>V373+V376</f>
        <v>101155.3396226415</v>
      </c>
      <c r="W372">
        <f>W373+W376</f>
        <v>114260.25943396226</v>
      </c>
      <c r="X372">
        <f>X373+X376</f>
        <v>91305.4433962264</v>
      </c>
      <c r="Y372">
        <f>Y373+Y376</f>
        <v>117616.65566037735</v>
      </c>
      <c r="Z372">
        <f>Z373+Z376</f>
        <v>126055.64150943396</v>
      </c>
      <c r="AA372">
        <f>AA373+AA376</f>
        <v>127516.13207547169</v>
      </c>
      <c r="AB372">
        <f>AB373+AB376</f>
        <v>86754.95283018866</v>
      </c>
      <c r="AC372">
        <f>AC373+AC376</f>
        <v>76788.42452830188</v>
      </c>
      <c r="AD372">
        <f>AD373+AD376</f>
        <v>88674.39150943396</v>
      </c>
      <c r="AE372">
        <f>AE373+AE376</f>
        <v>32680.108490566035</v>
      </c>
      <c r="AF372">
        <f>AF373+AF376</f>
        <v>101380.18523222061</v>
      </c>
      <c r="AG372">
        <f>AG373+AG376</f>
        <v>44458.882075471694</v>
      </c>
      <c r="AH372">
        <f>AH373+AH376</f>
        <v>87468.54716981131</v>
      </c>
      <c r="AI372">
        <f>AI373+AI376</f>
        <v>100958.71698113206</v>
      </c>
      <c r="AJ372">
        <f>AJ373+AJ376</f>
        <v>93681.44811320755</v>
      </c>
    </row>
    <row r="373">
      <c r="C373" t="str">
        <v xml:space="preserve"> - Taiping</v>
      </c>
      <c r="D373" t="str">
        <v>$</v>
      </c>
      <c r="E373">
        <v>184060</v>
      </c>
      <c r="F373">
        <f>H373</f>
        <v>136286.25</v>
      </c>
      <c r="H373">
        <f>SUM(Y373:Z373)</f>
        <v>136286.25</v>
      </c>
      <c r="J373">
        <f>W373</f>
        <v>11331.25</v>
      </c>
      <c r="K373">
        <f>Z373</f>
        <v>12858</v>
      </c>
      <c r="M373">
        <f>M14*0.25</f>
        <v>19945.25</v>
      </c>
      <c r="N373">
        <f>N14*0.25</f>
        <v>20646.75</v>
      </c>
      <c r="O373">
        <f>O14*0.25</f>
        <v>29985</v>
      </c>
      <c r="P373">
        <f>P14*0.25</f>
        <v>17440.5</v>
      </c>
      <c r="Q373">
        <f>Q14*0.25</f>
        <v>6599.5</v>
      </c>
      <c r="R373">
        <f>R14*0.25</f>
        <v>2751.75</v>
      </c>
      <c r="S373">
        <f>S14*0.25</f>
        <v>2182.5</v>
      </c>
      <c r="T373">
        <f>T14*0.25</f>
        <v>48582.4125</v>
      </c>
      <c r="U373">
        <f>U14*0.25</f>
        <v>13499.5</v>
      </c>
      <c r="V373">
        <f>V14*0.25</f>
        <v>10921</v>
      </c>
      <c r="W373">
        <f>W14*0.25</f>
        <v>11331.25</v>
      </c>
      <c r="X373">
        <f>X14*0.25</f>
        <v>9617</v>
      </c>
      <c r="Y373">
        <f>Y14*0.25</f>
        <v>14399.25</v>
      </c>
      <c r="Z373">
        <f>Z14*0.25</f>
        <v>12858</v>
      </c>
      <c r="AA373">
        <f>AA14*0.25</f>
        <v>9472.5</v>
      </c>
      <c r="AB373">
        <f>AB14*0.25</f>
        <v>6605</v>
      </c>
      <c r="AC373">
        <f>AC14*0.25</f>
        <v>5260.5</v>
      </c>
      <c r="AD373">
        <f>AD14*0.25</f>
        <v>6564.25</v>
      </c>
      <c r="AE373">
        <f>AE14*0.25</f>
        <v>6055.25</v>
      </c>
      <c r="AF373">
        <f>AF14*0.25</f>
        <v>29717.375</v>
      </c>
      <c r="AG373">
        <f>AG14*0.25</f>
        <v>4730.25</v>
      </c>
      <c r="AH373">
        <f>AH14*0.25</f>
        <v>5873.5</v>
      </c>
      <c r="AI373">
        <f>AI14*0.25</f>
        <v>4749</v>
      </c>
      <c r="AJ373">
        <f>AJ14*0.25</f>
        <v>5839.75</v>
      </c>
    </row>
    <row r="374">
      <c r="C374" t="str">
        <v xml:space="preserve"> - avg. Com. %</v>
      </c>
      <c r="D374" t="str">
        <v>%</v>
      </c>
      <c r="E374">
        <f>E373/E14</f>
        <v>0.24999966043727528</v>
      </c>
      <c r="F374">
        <f>H374</f>
        <v>0</v>
      </c>
      <c r="J374">
        <f>W374</f>
        <v>0.25</v>
      </c>
      <c r="K374">
        <f>Z374</f>
        <v>0.25</v>
      </c>
      <c r="M374">
        <f>M373/M14</f>
        <v>0.25</v>
      </c>
      <c r="N374">
        <f>N373/N14</f>
        <v>0.25</v>
      </c>
      <c r="O374">
        <f>O373/O14</f>
        <v>0.25</v>
      </c>
      <c r="P374">
        <f>P373/P14</f>
        <v>0.25</v>
      </c>
      <c r="Q374">
        <f>Q373/Q14</f>
        <v>0.25</v>
      </c>
      <c r="R374">
        <f>R373/R14</f>
        <v>0.25</v>
      </c>
      <c r="S374">
        <f>S373/S14</f>
        <v>0.25</v>
      </c>
      <c r="T374">
        <f>T373/T14</f>
        <v>0.25</v>
      </c>
      <c r="U374">
        <f>U373/U14</f>
        <v>0.25</v>
      </c>
      <c r="V374">
        <f>V373/V14</f>
        <v>0.25</v>
      </c>
      <c r="W374">
        <f>W373/W14</f>
        <v>0.25</v>
      </c>
      <c r="X374">
        <f>X373/X14</f>
        <v>0.25</v>
      </c>
      <c r="Y374">
        <f>Y373/Y14</f>
        <v>0.25</v>
      </c>
      <c r="Z374">
        <f>Z373/Z14</f>
        <v>0.25</v>
      </c>
      <c r="AA374">
        <f>AA373/AA14</f>
        <v>0.25</v>
      </c>
      <c r="AB374">
        <f>AB373/AB14</f>
        <v>0.25</v>
      </c>
      <c r="AC374">
        <f>AC373/AC14</f>
        <v>0.25</v>
      </c>
      <c r="AD374">
        <f>AD373/AD14</f>
        <v>0.25</v>
      </c>
      <c r="AE374">
        <f>AE373/AE14</f>
        <v>0.25</v>
      </c>
      <c r="AF374">
        <f>AF373/AF14</f>
        <v>0.25</v>
      </c>
      <c r="AG374">
        <f>AG373/AG14</f>
        <v>0.25</v>
      </c>
      <c r="AH374">
        <f>AH373/AH14</f>
        <v>0.25</v>
      </c>
      <c r="AI374">
        <f>AI373/AI14</f>
        <v>0.25</v>
      </c>
      <c r="AJ374">
        <f>AJ373/AJ14</f>
        <v>0.25</v>
      </c>
    </row>
    <row r="375">
      <c r="C375" t="str">
        <v xml:space="preserve"> - Taiping Share</v>
      </c>
      <c r="D375" t="str">
        <v>%</v>
      </c>
      <c r="F375">
        <f>H375</f>
        <v>0.3864069996158356</v>
      </c>
      <c r="H375">
        <f>H373/H372</f>
        <v>0.3864069996158356</v>
      </c>
      <c r="J375">
        <f>W375</f>
        <v>0.09917052574652167</v>
      </c>
      <c r="K375">
        <f>Z375</f>
        <v>0.10200257478391168</v>
      </c>
      <c r="M375">
        <f>M373/M372</f>
        <v>1</v>
      </c>
      <c r="N375">
        <f>N373/N372</f>
        <v>1</v>
      </c>
      <c r="O375">
        <f>O373/O372</f>
        <v>0.9992335377232738</v>
      </c>
      <c r="P375">
        <f>P373/P372</f>
        <v>0.9986829673318636</v>
      </c>
      <c r="Q375">
        <f>Q373/Q372</f>
        <v>0.24824615847580356</v>
      </c>
      <c r="R375">
        <f>R373/R372</f>
        <v>0.10251753332029394</v>
      </c>
      <c r="S375">
        <f>S373/S372</f>
        <v>0.06249552580714439</v>
      </c>
      <c r="T375">
        <f>T373/T372</f>
        <v>0.6524158111660228</v>
      </c>
      <c r="U375">
        <f>U373/U372</f>
        <v>0.12485999630728808</v>
      </c>
      <c r="V375">
        <f>V373/V372</f>
        <v>0.10796266455869387</v>
      </c>
      <c r="W375">
        <f>W373/W372</f>
        <v>0.09917052574652167</v>
      </c>
      <c r="X375">
        <f>X373/X372</f>
        <v>0.1053277837802764</v>
      </c>
      <c r="Y375">
        <f>Y373/Y372</f>
        <v>0.12242526297957657</v>
      </c>
      <c r="Z375">
        <f>Z373/Z372</f>
        <v>0.10200257478391168</v>
      </c>
      <c r="AA375">
        <f>AA373/AA372</f>
        <v>0.07428471869264044</v>
      </c>
      <c r="AB375">
        <f>AB373/AB372</f>
        <v>0.07613398180191987</v>
      </c>
      <c r="AC375">
        <f>AC373/AC372</f>
        <v>0.06850641919422555</v>
      </c>
      <c r="AD375">
        <f>AD373/AD372</f>
        <v>0.07402644538363297</v>
      </c>
      <c r="AE375">
        <f>AE373/AE372</f>
        <v>0.18528855256854504</v>
      </c>
      <c r="AF375">
        <f>AF373/AF372</f>
        <v>0.2931280400793274</v>
      </c>
      <c r="AG375">
        <f>AG373/AG372</f>
        <v>0.10639606259037528</v>
      </c>
      <c r="AH375">
        <f>AH373/AH372</f>
        <v>0.06714985203306505</v>
      </c>
      <c r="AI375">
        <f>AI373/AI372</f>
        <v>0.047039028842725185</v>
      </c>
      <c r="AJ375">
        <f>AJ373/AJ372</f>
        <v>0.062336248185906204</v>
      </c>
    </row>
    <row r="376">
      <c r="C376" t="str">
        <v xml:space="preserve"> - PICC</v>
      </c>
      <c r="D376" t="str">
        <v>$</v>
      </c>
      <c r="F376">
        <f>H376</f>
        <v>216415.04716981133</v>
      </c>
      <c r="H376">
        <f>SUM(Y376:Z376)</f>
        <v>216415.04716981133</v>
      </c>
      <c r="J376">
        <f>W376</f>
        <v>102929.00943396226</v>
      </c>
      <c r="K376">
        <f>Z376</f>
        <v>113197.64150943396</v>
      </c>
      <c r="O376" t="e">
        <f>#REF!/1.06*10%</f>
        <v>#REF!</v>
      </c>
      <c r="P376" t="e">
        <f>#REF!/1.06*10%</f>
        <v>#REF!</v>
      </c>
      <c r="Q376">
        <v>19985</v>
      </c>
      <c r="R376">
        <v>24090</v>
      </c>
      <c r="S376">
        <v>32740</v>
      </c>
      <c r="T376">
        <v>25883</v>
      </c>
      <c r="U376">
        <f>U60/1.06*15%</f>
        <v>94617.59433962264</v>
      </c>
      <c r="V376">
        <f>V60/1.06*15%</f>
        <v>90234.3396226415</v>
      </c>
      <c r="W376">
        <f>W60/1.06*15%</f>
        <v>102929.00943396226</v>
      </c>
      <c r="X376">
        <f>X60/1.06*15%</f>
        <v>81688.4433962264</v>
      </c>
      <c r="Y376">
        <f>Y60/1.06*15%</f>
        <v>103217.40566037735</v>
      </c>
      <c r="Z376">
        <f>Z60/1.06*15%</f>
        <v>113197.64150943396</v>
      </c>
      <c r="AA376">
        <f>AA60/1.06*15%</f>
        <v>118043.63207547169</v>
      </c>
      <c r="AB376">
        <f>AB60/1.06*15%</f>
        <v>80149.95283018866</v>
      </c>
      <c r="AC376">
        <f>AC60/1.06*15%</f>
        <v>71527.92452830188</v>
      </c>
      <c r="AD376">
        <f>AD60/1.06*15%</f>
        <v>82110.14150943396</v>
      </c>
      <c r="AE376">
        <f>AE60/1.06*15%</f>
        <v>26624.858490566035</v>
      </c>
      <c r="AF376">
        <f>AF60/1.06*15%</f>
        <v>71662.81023222061</v>
      </c>
      <c r="AG376">
        <f>AG60/1.06*15%</f>
        <v>39728.632075471694</v>
      </c>
      <c r="AH376">
        <f>AH60/1.06*15%</f>
        <v>81595.04716981131</v>
      </c>
      <c r="AI376">
        <f>AI60/1.06*15%</f>
        <v>96209.71698113206</v>
      </c>
      <c r="AJ376">
        <f>AJ60/1.06*15%</f>
        <v>87841.69811320755</v>
      </c>
    </row>
    <row r="377">
      <c r="C377" t="str">
        <v xml:space="preserve"> - avg. Com. %</v>
      </c>
      <c r="D377" t="str">
        <v>%</v>
      </c>
      <c r="F377">
        <f>H377</f>
        <v>0</v>
      </c>
      <c r="J377">
        <f>W377</f>
        <v>0.707542306075053</v>
      </c>
      <c r="K377">
        <f>Z377</f>
        <v>0.7075471698113207</v>
      </c>
      <c r="O377">
        <f>O376/O60</f>
        <v>0.049145299145299144</v>
      </c>
      <c r="P377">
        <f>P376/P60</f>
        <v>0.014857881136950904</v>
      </c>
      <c r="Q377">
        <f>Q376/Q60</f>
        <v>0.1780860979674036</v>
      </c>
      <c r="R377">
        <f>R376/R60</f>
        <v>0.17357033237025454</v>
      </c>
      <c r="S377">
        <f>S376/S60</f>
        <v>0.17415912633185984</v>
      </c>
      <c r="T377">
        <f>T376/T60</f>
        <v>0.15872908796546142</v>
      </c>
      <c r="U377">
        <f>U376/U60</f>
        <v>0.7075482280156636</v>
      </c>
      <c r="V377">
        <f>V376/V60</f>
        <v>0.7075482794194471</v>
      </c>
      <c r="W377">
        <f>W376/W60</f>
        <v>0.707542306075053</v>
      </c>
      <c r="X377">
        <f>X376/X60</f>
        <v>0.7075471698113206</v>
      </c>
      <c r="Y377">
        <f>Y376/Y60</f>
        <v>0.7075452297446367</v>
      </c>
      <c r="Z377">
        <f>Z376/Z60</f>
        <v>0.7075471698113207</v>
      </c>
      <c r="AA377">
        <f>AA376/AA60</f>
        <v>0.7075514108363504</v>
      </c>
      <c r="AB377">
        <f>AB376/AB60</f>
        <v>0.707544671388242</v>
      </c>
      <c r="AC377">
        <f>AC376/AC60</f>
        <v>0.7075457700167359</v>
      </c>
      <c r="AD377">
        <f>AD376/AD60</f>
        <v>0.7075471698113207</v>
      </c>
      <c r="AE377">
        <f>AE376/AE60</f>
        <v>0.7075622124044231</v>
      </c>
      <c r="AF377">
        <f>AF376/AF60</f>
        <v>0.14150943396226415</v>
      </c>
      <c r="AG377">
        <f>AG376/AG60</f>
        <v>0.7075446496076883</v>
      </c>
      <c r="AH377">
        <f>AH376/AH60</f>
        <v>0.7075471698113207</v>
      </c>
      <c r="AI377">
        <f>AI376/AI60</f>
        <v>0.7075492511997122</v>
      </c>
      <c r="AJ377">
        <f>AJ376/AJ60</f>
        <v>0.7075448901587398</v>
      </c>
    </row>
    <row r="378">
      <c r="C378" t="str">
        <v xml:space="preserve"> - PICC Share</v>
      </c>
      <c r="D378" t="str">
        <v>%</v>
      </c>
      <c r="F378">
        <f>H378</f>
        <v>0.6135930003841644</v>
      </c>
      <c r="H378">
        <f>H376/H372</f>
        <v>0.6135930003841644</v>
      </c>
      <c r="J378">
        <f>W378</f>
        <v>0.9008294742534784</v>
      </c>
      <c r="K378">
        <f>Z378</f>
        <v>0.8979974252160883</v>
      </c>
      <c r="M378">
        <f>M376/M372</f>
        <v>0</v>
      </c>
      <c r="N378">
        <f>N376/N372</f>
        <v>0</v>
      </c>
      <c r="O378">
        <f>O376/O372</f>
        <v>0.0007664622767262064</v>
      </c>
      <c r="P378">
        <f>P376/P372</f>
        <v>0.0013170326681363987</v>
      </c>
      <c r="Q378">
        <f>Q376/Q372</f>
        <v>0.7517538415241964</v>
      </c>
      <c r="R378">
        <f>R376/R372</f>
        <v>0.8974824666797061</v>
      </c>
      <c r="S378">
        <f>S376/S372</f>
        <v>0.9375044741928557</v>
      </c>
      <c r="T378">
        <f>T376/T372</f>
        <v>0.34758418883397707</v>
      </c>
      <c r="U378">
        <f>U376/U372</f>
        <v>0.8751400036927119</v>
      </c>
      <c r="V378">
        <f>V376/V372</f>
        <v>0.8920373354413061</v>
      </c>
      <c r="W378">
        <f>W376/W372</f>
        <v>0.9008294742534784</v>
      </c>
      <c r="X378">
        <f>X376/X372</f>
        <v>0.8946722162197236</v>
      </c>
      <c r="Y378">
        <f>Y376/Y372</f>
        <v>0.8775747370204234</v>
      </c>
      <c r="Z378">
        <f>Z376/Z372</f>
        <v>0.8979974252160883</v>
      </c>
      <c r="AA378">
        <f>AA376/AA372</f>
        <v>0.9257152813073596</v>
      </c>
      <c r="AB378">
        <f>AB376/AB372</f>
        <v>0.9238660181980801</v>
      </c>
      <c r="AC378">
        <f>AC376/AC372</f>
        <v>0.9314935808057745</v>
      </c>
      <c r="AD378">
        <f>AD376/AD372</f>
        <v>0.925973554616367</v>
      </c>
      <c r="AE378">
        <f>AE376/AE372</f>
        <v>0.814711447431455</v>
      </c>
      <c r="AF378">
        <f>AF376/AF372</f>
        <v>0.7068719599206726</v>
      </c>
      <c r="AG378">
        <f>AG376/AG372</f>
        <v>0.8936039374096247</v>
      </c>
      <c r="AH378">
        <f>AH376/AH372</f>
        <v>0.932850147966935</v>
      </c>
      <c r="AI378">
        <f>AI376/AI372</f>
        <v>0.9529609711572748</v>
      </c>
      <c r="AJ378">
        <f>AJ376/AJ372</f>
        <v>0.9376637518140938</v>
      </c>
    </row>
    <row r="380">
      <c r="C380" t="str">
        <v>Commission Breakup (Renewal)</v>
      </c>
      <c r="D380" t="str">
        <v>$</v>
      </c>
      <c r="N380">
        <f>N381+N384</f>
        <v>0</v>
      </c>
      <c r="O380">
        <f>O381+O384</f>
        <v>0</v>
      </c>
      <c r="P380">
        <f>P381+P384</f>
        <v>0</v>
      </c>
      <c r="Q380">
        <f>Q381+Q384</f>
        <v>0</v>
      </c>
      <c r="R380">
        <f>R381+R384</f>
        <v>0</v>
      </c>
      <c r="S380">
        <f>S381+S384</f>
        <v>0</v>
      </c>
      <c r="T380">
        <f>T381+T384</f>
        <v>0</v>
      </c>
      <c r="U380">
        <f>U381+U384</f>
        <v>0</v>
      </c>
      <c r="V380">
        <f>V381+V384</f>
        <v>3362.25</v>
      </c>
      <c r="W380">
        <f>W381+W384</f>
        <v>1661</v>
      </c>
      <c r="X380">
        <f>X381+X384</f>
        <v>31039.25</v>
      </c>
      <c r="Y380">
        <f>Y381+Y384</f>
        <v>7109</v>
      </c>
      <c r="Z380">
        <f>Z381+Z384</f>
        <v>5533.75</v>
      </c>
      <c r="AA380">
        <f>AA381+AA384</f>
        <v>4067.75</v>
      </c>
      <c r="AB380">
        <f>AB381+AB384</f>
        <v>4127.688679245283</v>
      </c>
      <c r="AC380">
        <f>AC381+AC384</f>
        <v>14756.056603773583</v>
      </c>
      <c r="AD380">
        <f>AD381+AD384</f>
        <v>11989.150943396226</v>
      </c>
      <c r="AE380">
        <f>AE381+AE384</f>
        <v>16426.27358490566</v>
      </c>
      <c r="AF380">
        <f>AF381+AF384</f>
        <v>75066.29190856314</v>
      </c>
      <c r="AG380">
        <f>AG381+AG384</f>
        <v>12164.537735849057</v>
      </c>
      <c r="AH380">
        <f>AH381+AH384</f>
        <v>14459.235849056604</v>
      </c>
      <c r="AI380">
        <f>AI381+AI384</f>
        <v>14131.452830188678</v>
      </c>
      <c r="AJ380">
        <f>AJ381+AJ384</f>
        <v>21682.622641509435</v>
      </c>
    </row>
    <row r="381">
      <c r="C381" t="str">
        <v>Taiping Renewal</v>
      </c>
      <c r="D381" t="str">
        <v>$</v>
      </c>
      <c r="N381">
        <f>N111*0.25</f>
        <v>0</v>
      </c>
      <c r="O381">
        <f>O111*0.25</f>
        <v>0</v>
      </c>
      <c r="P381">
        <f>P111*0.25</f>
        <v>0</v>
      </c>
      <c r="Q381">
        <f>Q111*0.25</f>
        <v>0</v>
      </c>
      <c r="R381">
        <f>R111*0.25</f>
        <v>0</v>
      </c>
      <c r="S381">
        <f>S111*0.25</f>
        <v>0</v>
      </c>
      <c r="T381">
        <f>T111*0.25</f>
        <v>0</v>
      </c>
      <c r="U381">
        <f>U111*0.25</f>
        <v>0</v>
      </c>
      <c r="V381">
        <f>V111*0.25</f>
        <v>3362.25</v>
      </c>
      <c r="W381">
        <f>W111*0.25</f>
        <v>1661</v>
      </c>
      <c r="X381">
        <f>X111*0.25</f>
        <v>31039.25</v>
      </c>
      <c r="Y381">
        <f>Y111*0.25</f>
        <v>7109</v>
      </c>
      <c r="Z381">
        <f>Z111*0.25</f>
        <v>5533.75</v>
      </c>
      <c r="AA381">
        <f>AA111*0.25</f>
        <v>4067.75</v>
      </c>
      <c r="AB381">
        <f>AB111*0.25</f>
        <v>2182.5</v>
      </c>
      <c r="AC381">
        <f>AC111*0.25</f>
        <v>1487</v>
      </c>
      <c r="AD381">
        <f>AD111*0.25</f>
        <v>1190</v>
      </c>
      <c r="AE381">
        <f>AE111*0.25</f>
        <v>5190</v>
      </c>
      <c r="AF381">
        <f>AF111*0.25</f>
        <v>32796.50961538462</v>
      </c>
      <c r="AG381">
        <f>AG111*0.25</f>
        <v>3288.5</v>
      </c>
      <c r="AH381">
        <f>AH111*0.25</f>
        <v>5011.5</v>
      </c>
      <c r="AI381">
        <f>AI111*0.25</f>
        <v>7256.5</v>
      </c>
      <c r="AJ381">
        <f>AJ111*0.25</f>
        <v>11270.5</v>
      </c>
    </row>
    <row r="382">
      <c r="C382" t="str">
        <v xml:space="preserve"> - avg. Com. %</v>
      </c>
      <c r="D382" t="str">
        <v>%</v>
      </c>
      <c r="N382" t="e">
        <f>N381/N111</f>
        <v>#DIV/0!</v>
      </c>
      <c r="O382" t="e">
        <f>O381/O111</f>
        <v>#DIV/0!</v>
      </c>
      <c r="P382" t="e">
        <f>P381/P111</f>
        <v>#DIV/0!</v>
      </c>
      <c r="Q382" t="e">
        <f>Q381/Q111</f>
        <v>#DIV/0!</v>
      </c>
      <c r="R382" t="e">
        <f>R381/R111</f>
        <v>#DIV/0!</v>
      </c>
      <c r="S382" t="e">
        <f>S381/S111</f>
        <v>#DIV/0!</v>
      </c>
      <c r="T382" t="e">
        <f>T381/T111</f>
        <v>#DIV/0!</v>
      </c>
      <c r="U382" t="e">
        <f>U381/U111</f>
        <v>#DIV/0!</v>
      </c>
      <c r="V382">
        <f>V381/V111</f>
        <v>0.25</v>
      </c>
      <c r="W382">
        <f>W381/W111</f>
        <v>0.25</v>
      </c>
      <c r="X382">
        <f>X381/X111</f>
        <v>0.25</v>
      </c>
      <c r="Y382">
        <f>Y381/Y111</f>
        <v>0.25</v>
      </c>
      <c r="Z382">
        <f>Z381/Z111</f>
        <v>0.25</v>
      </c>
      <c r="AA382">
        <f>AA381/AA111</f>
        <v>0.25</v>
      </c>
      <c r="AB382">
        <f>AB381/AB111</f>
        <v>0.25</v>
      </c>
      <c r="AC382">
        <f>AC381/AC111</f>
        <v>0.25</v>
      </c>
      <c r="AD382">
        <f>AD381/AD111</f>
        <v>0.25</v>
      </c>
      <c r="AE382">
        <f>AE381/AE111</f>
        <v>0.25</v>
      </c>
      <c r="AF382">
        <f>AF381/AF111</f>
        <v>0.25</v>
      </c>
      <c r="AG382">
        <f>AG381/AG111</f>
        <v>0.25</v>
      </c>
      <c r="AH382">
        <f>AH381/AH111</f>
        <v>0.25</v>
      </c>
      <c r="AI382">
        <f>AI381/AI111</f>
        <v>0.25</v>
      </c>
      <c r="AJ382">
        <f>AJ381/AJ111</f>
        <v>0.25</v>
      </c>
    </row>
    <row r="383">
      <c r="C383" t="str">
        <v xml:space="preserve"> - Taiping Share</v>
      </c>
      <c r="D383" t="str">
        <v>%</v>
      </c>
      <c r="N383" t="e">
        <f>N381/N380</f>
        <v>#DIV/0!</v>
      </c>
      <c r="O383" t="e">
        <f>O381/O380</f>
        <v>#DIV/0!</v>
      </c>
      <c r="P383" t="e">
        <f>P381/P380</f>
        <v>#DIV/0!</v>
      </c>
      <c r="Q383" t="e">
        <f>Q381/Q380</f>
        <v>#DIV/0!</v>
      </c>
      <c r="R383" t="e">
        <f>R381/R380</f>
        <v>#DIV/0!</v>
      </c>
      <c r="S383" t="e">
        <f>S381/S380</f>
        <v>#DIV/0!</v>
      </c>
      <c r="T383" t="e">
        <f>T381/T380</f>
        <v>#DIV/0!</v>
      </c>
      <c r="U383" t="e">
        <f>U381/U380</f>
        <v>#DIV/0!</v>
      </c>
      <c r="V383">
        <f>V381/V380</f>
        <v>1</v>
      </c>
      <c r="W383">
        <f>W381/W380</f>
        <v>1</v>
      </c>
      <c r="X383">
        <f>X381/X380</f>
        <v>1</v>
      </c>
      <c r="Y383">
        <f>Y381/Y380</f>
        <v>1</v>
      </c>
      <c r="Z383">
        <f>Z381/Z380</f>
        <v>1</v>
      </c>
      <c r="AA383">
        <f>AA381/AA380</f>
        <v>1</v>
      </c>
      <c r="AB383">
        <f>AB381/AB380</f>
        <v>0.5287462717268332</v>
      </c>
      <c r="AC383">
        <f>AC381/AC380</f>
        <v>0.10077218053092368</v>
      </c>
      <c r="AD383">
        <f>AD381/AD380</f>
        <v>0.09925640319471221</v>
      </c>
      <c r="AE383">
        <f>AE381/AE380</f>
        <v>0.3159572360202966</v>
      </c>
      <c r="AF383">
        <f>AF381/AF380</f>
        <v>0.4369006218574568</v>
      </c>
      <c r="AG383">
        <f>AG381/AG380</f>
        <v>0.27033497461302997</v>
      </c>
      <c r="AH383">
        <f>AH381/AH380</f>
        <v>0.34659507959592323</v>
      </c>
      <c r="AI383">
        <f>AI381/AI380</f>
        <v>0.5134999272331091</v>
      </c>
      <c r="AJ383">
        <f>AJ381/AJ380</f>
        <v>0.5197941312885112</v>
      </c>
    </row>
    <row r="384">
      <c r="C384" t="str">
        <v>PICC Renewal</v>
      </c>
      <c r="D384" t="str">
        <v>$</v>
      </c>
      <c r="Y384">
        <f>Y112*0.15/1.06</f>
        <v>0</v>
      </c>
      <c r="Z384">
        <f>Z112*0.15/1.06</f>
        <v>0</v>
      </c>
      <c r="AA384">
        <f>AA112*0.15/1.06</f>
        <v>0</v>
      </c>
      <c r="AB384">
        <f>AB112*0.15/1.06</f>
        <v>1945.188679245283</v>
      </c>
      <c r="AC384">
        <f>AC112*0.15/1.06</f>
        <v>13269.056603773583</v>
      </c>
      <c r="AD384">
        <f>AD112*0.15/1.06</f>
        <v>10799.150943396226</v>
      </c>
      <c r="AE384">
        <f>AE112*0.15/1.06</f>
        <v>11236.273584905659</v>
      </c>
      <c r="AF384">
        <f>AF112*0.15/1.06</f>
        <v>42269.78229317852</v>
      </c>
      <c r="AG384">
        <f>AG112*0.15/1.06</f>
        <v>8876.037735849057</v>
      </c>
      <c r="AH384">
        <f>AH112*0.15/1.06</f>
        <v>9447.735849056604</v>
      </c>
      <c r="AI384">
        <f>AI112*0.15/1.06</f>
        <v>6874.9528301886785</v>
      </c>
      <c r="AJ384">
        <f>AJ112*0.15/1.06</f>
        <v>10412.122641509433</v>
      </c>
    </row>
    <row r="385">
      <c r="C385" t="str">
        <v xml:space="preserve"> - avg. Com. %</v>
      </c>
      <c r="D385" t="str">
        <v>%</v>
      </c>
      <c r="N385" t="e">
        <f>N384/N112</f>
        <v>#DIV/0!</v>
      </c>
      <c r="O385" t="e">
        <f>O384/O112</f>
        <v>#DIV/0!</v>
      </c>
      <c r="P385" t="e">
        <f>P384/P112</f>
        <v>#DIV/0!</v>
      </c>
      <c r="Q385" t="e">
        <f>Q384/Q112</f>
        <v>#DIV/0!</v>
      </c>
      <c r="R385" t="e">
        <f>R384/R112</f>
        <v>#DIV/0!</v>
      </c>
      <c r="S385" t="e">
        <f>S384/S112</f>
        <v>#DIV/0!</v>
      </c>
      <c r="T385" t="e">
        <f>T384/T112</f>
        <v>#DIV/0!</v>
      </c>
      <c r="U385" t="e">
        <f>U384/U112</f>
        <v>#DIV/0!</v>
      </c>
      <c r="V385" t="e">
        <f>V384/V112</f>
        <v>#DIV/0!</v>
      </c>
      <c r="W385" t="e">
        <f>W384/W112</f>
        <v>#DIV/0!</v>
      </c>
      <c r="X385" t="e">
        <f>X384/X112</f>
        <v>#DIV/0!</v>
      </c>
      <c r="Y385" t="e">
        <f>Y384/Y112</f>
        <v>#DIV/0!</v>
      </c>
      <c r="Z385" t="e">
        <f>Z384/Z112</f>
        <v>#DIV/0!</v>
      </c>
      <c r="AA385" t="e">
        <f>AA384/AA112</f>
        <v>#DIV/0!</v>
      </c>
      <c r="AB385">
        <f>AB384/AB112</f>
        <v>0.14150943396226415</v>
      </c>
      <c r="AC385">
        <f>AC384/AC112</f>
        <v>0.14150943396226412</v>
      </c>
      <c r="AD385">
        <f>AD384/AD112</f>
        <v>0.14150943396226415</v>
      </c>
      <c r="AE385">
        <f>AE384/AE112</f>
        <v>0.14150943396226412</v>
      </c>
      <c r="AF385">
        <f>AF384/AF112</f>
        <v>0.14150943396226415</v>
      </c>
      <c r="AG385">
        <f>AG384/AG112</f>
        <v>0.14150943396226415</v>
      </c>
      <c r="AH385">
        <f>AH384/AH112</f>
        <v>0.14150943396226415</v>
      </c>
      <c r="AI385">
        <f>AI384/AI112</f>
        <v>0.14150943396226415</v>
      </c>
      <c r="AJ385">
        <f>AJ384/AJ112</f>
        <v>0.14150943396226415</v>
      </c>
    </row>
    <row r="386">
      <c r="C386" t="str">
        <v xml:space="preserve"> - PICC Share</v>
      </c>
      <c r="D386" t="str">
        <v>%</v>
      </c>
      <c r="N386" t="e">
        <f>N384/N380</f>
        <v>#DIV/0!</v>
      </c>
      <c r="O386" t="e">
        <f>O384/O380</f>
        <v>#DIV/0!</v>
      </c>
      <c r="P386" t="e">
        <f>P384/P380</f>
        <v>#DIV/0!</v>
      </c>
      <c r="Q386" t="e">
        <f>Q384/Q380</f>
        <v>#DIV/0!</v>
      </c>
      <c r="R386" t="e">
        <f>R384/R380</f>
        <v>#DIV/0!</v>
      </c>
      <c r="S386" t="e">
        <f>S384/S380</f>
        <v>#DIV/0!</v>
      </c>
      <c r="T386" t="e">
        <f>T384/T380</f>
        <v>#DIV/0!</v>
      </c>
      <c r="U386" t="e">
        <f>U384/U380</f>
        <v>#DIV/0!</v>
      </c>
      <c r="V386">
        <f>V384/V380</f>
        <v>0</v>
      </c>
      <c r="W386">
        <f>W384/W380</f>
        <v>0</v>
      </c>
      <c r="X386">
        <f>X384/X380</f>
        <v>0</v>
      </c>
      <c r="Y386">
        <f>Y384/Y380</f>
        <v>0</v>
      </c>
      <c r="Z386">
        <f>Z384/Z380</f>
        <v>0</v>
      </c>
      <c r="AA386">
        <f>AA384/AA380</f>
        <v>0</v>
      </c>
      <c r="AB386">
        <f>AB384/AB380</f>
        <v>0.4712537282731667</v>
      </c>
      <c r="AC386">
        <f>AC384/AC380</f>
        <v>0.8992278194690764</v>
      </c>
      <c r="AD386">
        <f>AD384/AD380</f>
        <v>0.9007435968052878</v>
      </c>
      <c r="AE386">
        <f>AE384/AE380</f>
        <v>0.6840427639797034</v>
      </c>
      <c r="AF386">
        <f>AF384/AF380</f>
        <v>0.5630993781425431</v>
      </c>
      <c r="AG386">
        <f>AG384/AG380</f>
        <v>0.72966502538697</v>
      </c>
      <c r="AH386">
        <f>AH384/AH380</f>
        <v>0.6534049204040768</v>
      </c>
      <c r="AI386">
        <f>AI384/AI380</f>
        <v>0.4865000727668909</v>
      </c>
      <c r="AJ386">
        <f>AJ384/AJ380</f>
        <v>0.48020586871148874</v>
      </c>
    </row>
    <row r="387">
      <c r="H387">
        <f>SUM(Y387:Z387)</f>
        <v>0</v>
      </c>
    </row>
    <row r="388">
      <c r="C388" t="str">
        <v>SEM Report</v>
      </c>
      <c r="H388">
        <f>SUM(Y388:Z388)</f>
        <v>0</v>
      </c>
    </row>
    <row r="389">
      <c r="C389" t="str">
        <v>- Impression</v>
      </c>
      <c r="D389" t="str">
        <v>#</v>
      </c>
      <c r="F389">
        <f>SUM(M389:X389)</f>
        <v>43166</v>
      </c>
      <c r="H389">
        <f>SUM(Y389:AJ389)</f>
        <v>168769</v>
      </c>
      <c r="R389">
        <v>1059</v>
      </c>
      <c r="S389">
        <v>4239</v>
      </c>
      <c r="T389">
        <v>5683</v>
      </c>
      <c r="U389">
        <v>8129</v>
      </c>
      <c r="V389">
        <v>8366</v>
      </c>
      <c r="W389">
        <v>7908</v>
      </c>
      <c r="X389">
        <v>7782</v>
      </c>
      <c r="Y389">
        <v>10142</v>
      </c>
      <c r="Z389">
        <v>11732</v>
      </c>
      <c r="AA389">
        <v>10980</v>
      </c>
      <c r="AB389">
        <v>9348</v>
      </c>
      <c r="AC389">
        <v>8030</v>
      </c>
      <c r="AD389">
        <v>9290</v>
      </c>
      <c r="AE389">
        <v>10410</v>
      </c>
      <c r="AF389">
        <v>17070</v>
      </c>
      <c r="AG389">
        <v>19686</v>
      </c>
      <c r="AH389">
        <v>24420</v>
      </c>
      <c r="AI389">
        <v>20579</v>
      </c>
      <c r="AJ389">
        <v>17082</v>
      </c>
      <c r="AK389">
        <v>21743</v>
      </c>
      <c r="AL389">
        <v>15885</v>
      </c>
      <c r="AM389">
        <v>16000</v>
      </c>
      <c r="AN389">
        <v>13000</v>
      </c>
      <c r="AO389">
        <v>11000</v>
      </c>
      <c r="AP389">
        <v>12000</v>
      </c>
      <c r="AQ389">
        <v>15000</v>
      </c>
    </row>
    <row r="390">
      <c r="C390" t="str">
        <v>- Clicks</v>
      </c>
      <c r="D390" t="str">
        <v>#</v>
      </c>
      <c r="F390">
        <f>SUM(M390:X390)</f>
        <v>6968</v>
      </c>
      <c r="H390">
        <f>SUM(Y390:AJ390)</f>
        <v>15412</v>
      </c>
      <c r="R390">
        <v>162</v>
      </c>
      <c r="S390">
        <v>804</v>
      </c>
      <c r="T390">
        <v>850</v>
      </c>
      <c r="U390">
        <v>1330</v>
      </c>
      <c r="V390">
        <v>1337</v>
      </c>
      <c r="W390">
        <v>1335</v>
      </c>
      <c r="X390">
        <v>1150</v>
      </c>
      <c r="Y390">
        <v>1502</v>
      </c>
      <c r="Z390">
        <v>1444</v>
      </c>
      <c r="AA390">
        <v>1406</v>
      </c>
      <c r="AB390">
        <v>1145</v>
      </c>
      <c r="AC390">
        <v>968</v>
      </c>
      <c r="AD390">
        <v>807</v>
      </c>
      <c r="AE390">
        <v>988</v>
      </c>
      <c r="AF390">
        <v>1144</v>
      </c>
      <c r="AG390">
        <v>1139</v>
      </c>
      <c r="AH390">
        <v>1706</v>
      </c>
      <c r="AI390">
        <v>1624</v>
      </c>
      <c r="AJ390">
        <v>1539</v>
      </c>
      <c r="AK390">
        <v>1653</v>
      </c>
      <c r="AL390">
        <v>1149</v>
      </c>
      <c r="AM390">
        <v>1300</v>
      </c>
      <c r="AN390">
        <v>1100</v>
      </c>
      <c r="AO390">
        <v>950</v>
      </c>
      <c r="AP390">
        <v>800</v>
      </c>
      <c r="AQ390">
        <v>950</v>
      </c>
    </row>
    <row r="391">
      <c r="C391" t="str">
        <v>- CTR(ClickThrough Rate)</v>
      </c>
      <c r="D391" t="str">
        <v>%</v>
      </c>
      <c r="F391">
        <f>F390/F389</f>
        <v>0.16142334244544318</v>
      </c>
      <c r="H391">
        <f>H390/H389</f>
        <v>0.09132008840486108</v>
      </c>
      <c r="R391">
        <v>0.153</v>
      </c>
      <c r="S391">
        <v>0.1897</v>
      </c>
      <c r="T391">
        <v>0.1496</v>
      </c>
      <c r="U391">
        <v>0.1636</v>
      </c>
      <c r="V391">
        <v>0.1598</v>
      </c>
      <c r="W391">
        <v>0.1688</v>
      </c>
      <c r="X391">
        <v>0.1478</v>
      </c>
      <c r="Y391">
        <f>Y390/Y389</f>
        <v>0.14809702228357327</v>
      </c>
      <c r="Z391">
        <f>Z390/Z389</f>
        <v>0.12308216842823048</v>
      </c>
      <c r="AA391">
        <f>AA390/AA389</f>
        <v>0.12805100182149362</v>
      </c>
      <c r="AB391">
        <f>AB390/AB389</f>
        <v>0.12248609328198545</v>
      </c>
      <c r="AC391">
        <f>AC390/AC389</f>
        <v>0.12054794520547946</v>
      </c>
      <c r="AD391">
        <f>AD390/AD389</f>
        <v>0.0868675995694295</v>
      </c>
      <c r="AE391">
        <f>AE390/AE389</f>
        <v>0.09490874159462055</v>
      </c>
      <c r="AF391">
        <f>AF390/AF389</f>
        <v>0.06701816051552431</v>
      </c>
      <c r="AG391">
        <f>AG390/AG389</f>
        <v>0.05785837651122625</v>
      </c>
      <c r="AH391">
        <f>AH390/AH389</f>
        <v>0.06986076986076986</v>
      </c>
      <c r="AI391">
        <f>AI390/AI389</f>
        <v>0.07891539919335244</v>
      </c>
      <c r="AJ391">
        <f>AJ390/AJ389</f>
        <v>0.09009483667017913</v>
      </c>
      <c r="AK391">
        <f>AK390/AK389</f>
        <v>0.07602446764475923</v>
      </c>
      <c r="AL391">
        <f>AL390/AL389</f>
        <v>0.07233238904627007</v>
      </c>
      <c r="AM391">
        <f>AM390/AM389</f>
        <v>0.08125</v>
      </c>
      <c r="AN391">
        <f>AN390/AN389</f>
        <v>0.08461538461538462</v>
      </c>
      <c r="AO391">
        <f>AO390/AO389</f>
        <v>0.08636363636363636</v>
      </c>
      <c r="AP391">
        <f>AP390/AP389</f>
        <v>0.06666666666666667</v>
      </c>
      <c r="AQ391">
        <f>AQ390/AQ389</f>
        <v>0.06333333333333334</v>
      </c>
    </row>
    <row r="392">
      <c r="C392" t="str">
        <v>- Cost</v>
      </c>
      <c r="D392" t="str">
        <v>$</v>
      </c>
      <c r="F392">
        <f>SUM(M392:X392)</f>
        <v>91231.99</v>
      </c>
      <c r="H392">
        <f>SUM(Y392:AJ392)</f>
        <v>237967.62999999998</v>
      </c>
      <c r="R392">
        <v>1848.8</v>
      </c>
      <c r="S392">
        <v>9339.7</v>
      </c>
      <c r="T392">
        <v>10374</v>
      </c>
      <c r="U392">
        <v>16257.88</v>
      </c>
      <c r="V392">
        <v>17337.01</v>
      </c>
      <c r="W392">
        <v>21783.47</v>
      </c>
      <c r="X392">
        <v>14291.13</v>
      </c>
      <c r="Y392">
        <v>22650.48</v>
      </c>
      <c r="Z392">
        <v>21493.88</v>
      </c>
      <c r="AA392">
        <v>21118.84</v>
      </c>
      <c r="AB392">
        <v>17664.33</v>
      </c>
      <c r="AC392">
        <v>21047.62</v>
      </c>
      <c r="AD392">
        <v>13922.62</v>
      </c>
      <c r="AE392">
        <v>19713.44</v>
      </c>
      <c r="AF392">
        <v>15733.15</v>
      </c>
      <c r="AG392">
        <v>17422.15</v>
      </c>
      <c r="AH392">
        <v>24594.4</v>
      </c>
      <c r="AI392">
        <v>21412.59</v>
      </c>
      <c r="AJ392">
        <v>21194.13</v>
      </c>
      <c r="AK392">
        <v>27255.13</v>
      </c>
      <c r="AL392">
        <v>17377.14</v>
      </c>
      <c r="AM392">
        <v>22000</v>
      </c>
      <c r="AN392">
        <v>18000</v>
      </c>
      <c r="AO392">
        <v>16000</v>
      </c>
      <c r="AP392">
        <v>15000</v>
      </c>
      <c r="AQ392">
        <v>17000</v>
      </c>
    </row>
    <row r="393">
      <c r="C393" t="str">
        <v>- CPC(Cost Per Click)</v>
      </c>
      <c r="D393" t="str">
        <v>$</v>
      </c>
      <c r="F393">
        <f>F392/F390</f>
        <v>13.092995120551091</v>
      </c>
      <c r="H393">
        <f>H392/H390</f>
        <v>15.440412016610432</v>
      </c>
      <c r="R393">
        <v>11.41</v>
      </c>
      <c r="S393">
        <v>11.62</v>
      </c>
      <c r="T393">
        <v>12.2</v>
      </c>
      <c r="U393">
        <v>12.22</v>
      </c>
      <c r="V393">
        <v>12.97</v>
      </c>
      <c r="W393">
        <v>16.32</v>
      </c>
      <c r="X393">
        <v>12.43</v>
      </c>
      <c r="Y393">
        <f>Y392/Y390</f>
        <v>15.080213049267643</v>
      </c>
      <c r="Z393">
        <f>Z392/Z390</f>
        <v>14.884958448753464</v>
      </c>
      <c r="AA393">
        <f>AA392/AA390</f>
        <v>15.020512091038407</v>
      </c>
      <c r="AB393">
        <f>AB392/AB390</f>
        <v>15.427362445414849</v>
      </c>
      <c r="AC393">
        <f>AC392/AC390</f>
        <v>21.74340909090909</v>
      </c>
      <c r="AD393">
        <f>AD392/AD390</f>
        <v>17.252317224287484</v>
      </c>
      <c r="AE393">
        <f>AE392/AE390</f>
        <v>19.952874493927123</v>
      </c>
      <c r="AF393">
        <f>AF392/AF390</f>
        <v>13.752753496503496</v>
      </c>
      <c r="AG393">
        <f>AG392/AG390</f>
        <v>15.296005267778755</v>
      </c>
      <c r="AH393">
        <f>AH392/AH390</f>
        <v>14.41641266119578</v>
      </c>
      <c r="AI393">
        <f>AI392/AI390</f>
        <v>13.18509236453202</v>
      </c>
      <c r="AJ393">
        <f>AJ392/AJ390</f>
        <v>13.771364522417155</v>
      </c>
      <c r="AK393">
        <f>AK392/AK390</f>
        <v>16.48828191167574</v>
      </c>
      <c r="AL393">
        <f>AL392/AL390</f>
        <v>15.123707571801566</v>
      </c>
      <c r="AM393">
        <f>AM392/AM390</f>
        <v>16.923076923076923</v>
      </c>
      <c r="AN393">
        <f>AN392/AN390</f>
        <v>16.363636363636363</v>
      </c>
      <c r="AO393">
        <f>AO392/AO390</f>
        <v>16.842105263157894</v>
      </c>
      <c r="AP393">
        <f>AP392/AP390</f>
        <v>18.75</v>
      </c>
      <c r="AQ393">
        <f>AQ392/AQ390</f>
        <v>17.894736842105264</v>
      </c>
    </row>
    <row r="394">
      <c r="C394" t="str">
        <v>-Coversion</v>
      </c>
      <c r="D394" t="str">
        <v>#</v>
      </c>
      <c r="F394">
        <f>SUM(M394:X394)</f>
        <v>421</v>
      </c>
      <c r="H394">
        <f>SUM(Y394:AJ394)</f>
        <v>996</v>
      </c>
      <c r="R394" t="str">
        <v>N/A</v>
      </c>
      <c r="S394">
        <v>44</v>
      </c>
      <c r="T394">
        <v>53</v>
      </c>
      <c r="U394">
        <v>102</v>
      </c>
      <c r="V394">
        <v>96</v>
      </c>
      <c r="W394">
        <v>73</v>
      </c>
      <c r="X394">
        <v>53</v>
      </c>
      <c r="Y394">
        <v>168</v>
      </c>
      <c r="Z394">
        <v>122</v>
      </c>
      <c r="AA394">
        <v>111</v>
      </c>
      <c r="AB394">
        <v>72</v>
      </c>
      <c r="AC394">
        <v>70</v>
      </c>
      <c r="AD394">
        <v>38</v>
      </c>
      <c r="AE394">
        <v>54</v>
      </c>
      <c r="AF394">
        <v>58</v>
      </c>
      <c r="AG394">
        <v>45</v>
      </c>
      <c r="AH394">
        <v>77</v>
      </c>
      <c r="AI394">
        <v>88</v>
      </c>
      <c r="AJ394">
        <v>93</v>
      </c>
      <c r="AK394">
        <v>99</v>
      </c>
      <c r="AL394">
        <v>28</v>
      </c>
      <c r="AM394">
        <v>80</v>
      </c>
      <c r="AN394">
        <v>55</v>
      </c>
      <c r="AO394">
        <v>50</v>
      </c>
      <c r="AP394">
        <v>35</v>
      </c>
      <c r="AQ394">
        <v>45</v>
      </c>
    </row>
    <row r="395">
      <c r="C395" t="str">
        <v>-CPA(Cost Per Acquisition)</v>
      </c>
      <c r="D395" t="str">
        <v>$</v>
      </c>
      <c r="F395">
        <f>F392/F394</f>
        <v>216.70306413301665</v>
      </c>
      <c r="H395">
        <f>H392/H394</f>
        <v>238.92332329317267</v>
      </c>
      <c r="R395" t="str">
        <v>N/A</v>
      </c>
      <c r="S395">
        <v>212.27</v>
      </c>
      <c r="T395">
        <v>195.74</v>
      </c>
      <c r="U395">
        <v>159.39</v>
      </c>
      <c r="V395">
        <v>180.59</v>
      </c>
      <c r="W395">
        <v>298.4</v>
      </c>
      <c r="X395">
        <v>269.64</v>
      </c>
      <c r="Y395">
        <f>Y392/Y394</f>
        <v>134.8242857142857</v>
      </c>
      <c r="Z395">
        <f>Z392/Z394</f>
        <v>176.1793442622951</v>
      </c>
      <c r="AA395">
        <f>AA392/AA394</f>
        <v>190.25981981981982</v>
      </c>
      <c r="AB395">
        <f>AB392/AB394</f>
        <v>245.3379166666667</v>
      </c>
      <c r="AC395">
        <f>AC392/AC394</f>
        <v>300.6802857142857</v>
      </c>
      <c r="AD395">
        <f>AD392/AD394</f>
        <v>366.38473684210527</v>
      </c>
      <c r="AE395">
        <f>AE392/AE394</f>
        <v>365.06370370370365</v>
      </c>
      <c r="AF395">
        <f>AF392/AF394</f>
        <v>271.2612068965517</v>
      </c>
      <c r="AG395">
        <f>AG392/AG394</f>
        <v>387.1588888888889</v>
      </c>
      <c r="AH395">
        <f>AH392/AH394</f>
        <v>319.4077922077922</v>
      </c>
      <c r="AI395">
        <f>AI392/AI394</f>
        <v>243.32488636363635</v>
      </c>
      <c r="AJ395">
        <f>AJ392/AJ394</f>
        <v>227.89387096774195</v>
      </c>
      <c r="AK395">
        <f>AK392/AK394</f>
        <v>275.3043434343434</v>
      </c>
      <c r="AL395">
        <f>AL392/AL394</f>
        <v>620.6121428571429</v>
      </c>
      <c r="AM395">
        <f>AM392/AM394</f>
        <v>275</v>
      </c>
      <c r="AN395">
        <f>AN392/AN394</f>
        <v>327.27272727272725</v>
      </c>
      <c r="AO395">
        <f>AO392/AO394</f>
        <v>320</v>
      </c>
      <c r="AP395">
        <f>AP392/AP394</f>
        <v>428.57142857142856</v>
      </c>
      <c r="AQ395">
        <f>AQ392/AQ394</f>
        <v>377.77777777777777</v>
      </c>
    </row>
    <row r="397">
      <c r="C397" t="str">
        <v>FB Report</v>
      </c>
    </row>
    <row r="398">
      <c r="C398" t="str">
        <v>- Impression</v>
      </c>
      <c r="D398" t="str">
        <v>#</v>
      </c>
      <c r="AE398">
        <v>146218</v>
      </c>
      <c r="AF398">
        <v>52100</v>
      </c>
      <c r="AG398">
        <v>185973</v>
      </c>
      <c r="AH398">
        <v>275176</v>
      </c>
      <c r="AI398">
        <v>238723</v>
      </c>
      <c r="AJ398">
        <v>267356</v>
      </c>
      <c r="AK398">
        <v>226234</v>
      </c>
      <c r="AL398">
        <v>214494</v>
      </c>
      <c r="AM398">
        <v>200000</v>
      </c>
      <c r="AN398">
        <v>190000</v>
      </c>
      <c r="AO398">
        <v>180000</v>
      </c>
      <c r="AP398">
        <v>170000</v>
      </c>
      <c r="AQ398">
        <v>160000</v>
      </c>
    </row>
    <row r="399">
      <c r="C399" t="str">
        <v>- Clicks</v>
      </c>
      <c r="D399" t="str">
        <v>#</v>
      </c>
      <c r="AE399">
        <v>1402</v>
      </c>
      <c r="AF399">
        <v>746</v>
      </c>
      <c r="AG399">
        <v>4677</v>
      </c>
      <c r="AH399">
        <v>3104</v>
      </c>
      <c r="AI399">
        <v>2745</v>
      </c>
      <c r="AJ399">
        <v>2851</v>
      </c>
      <c r="AK399">
        <v>2793</v>
      </c>
      <c r="AL399">
        <v>1480</v>
      </c>
      <c r="AM399">
        <v>2000</v>
      </c>
      <c r="AN399">
        <v>1900</v>
      </c>
      <c r="AO399">
        <v>1800</v>
      </c>
      <c r="AP399">
        <v>1700</v>
      </c>
      <c r="AQ399">
        <v>1600</v>
      </c>
    </row>
    <row r="400">
      <c r="C400" t="str">
        <v>- CTR(ClickThrough Rate)</v>
      </c>
      <c r="D400" t="str">
        <v>%</v>
      </c>
      <c r="AE400">
        <f>AE399/AE398</f>
        <v>0.00958842276600692</v>
      </c>
      <c r="AF400">
        <f>AF399/AF398</f>
        <v>0.014318618042226488</v>
      </c>
      <c r="AG400">
        <f>AG399/AG398</f>
        <v>0.025148811924311593</v>
      </c>
      <c r="AH400">
        <f>AH399/AH398</f>
        <v>0.011280053493037184</v>
      </c>
      <c r="AI400">
        <f>AI399/AI398</f>
        <v>0.011498682573526639</v>
      </c>
      <c r="AJ400">
        <f>AJ399/AJ398</f>
        <v>0.010663684375888329</v>
      </c>
      <c r="AK400">
        <f>AK399/AK398</f>
        <v>0.012345624441949485</v>
      </c>
      <c r="AL400">
        <f>AL399/AL398</f>
        <v>0.006899959905638386</v>
      </c>
      <c r="AM400">
        <f>AM399/AM398</f>
        <v>0.01</v>
      </c>
      <c r="AN400">
        <f>AN399/AN398</f>
        <v>0.01</v>
      </c>
      <c r="AO400">
        <f>AO399/AO398</f>
        <v>0.01</v>
      </c>
      <c r="AP400">
        <f>AP399/AP398</f>
        <v>0.01</v>
      </c>
      <c r="AQ400">
        <f>AQ399/AQ398</f>
        <v>0.01</v>
      </c>
    </row>
    <row r="401">
      <c r="C401" t="str">
        <v>- Cost</v>
      </c>
      <c r="D401" t="str">
        <v>$</v>
      </c>
      <c r="AE401">
        <v>8796.81</v>
      </c>
      <c r="AF401">
        <v>3717.42</v>
      </c>
      <c r="AG401">
        <v>10503.51</v>
      </c>
      <c r="AH401">
        <v>10239.69</v>
      </c>
      <c r="AI401">
        <v>9758.76</v>
      </c>
      <c r="AJ401">
        <v>10050.7</v>
      </c>
      <c r="AK401">
        <v>9946</v>
      </c>
      <c r="AL401">
        <v>10177.18</v>
      </c>
      <c r="AM401">
        <v>10000</v>
      </c>
      <c r="AN401">
        <v>9800</v>
      </c>
      <c r="AO401">
        <v>9600</v>
      </c>
      <c r="AP401">
        <v>9500</v>
      </c>
      <c r="AQ401">
        <v>9400</v>
      </c>
    </row>
    <row r="402">
      <c r="C402" t="str">
        <v>- CPC(Cost Per Click)</v>
      </c>
      <c r="D402" t="str">
        <v>$</v>
      </c>
      <c r="AE402">
        <f>AE401/AE399</f>
        <v>6.27447218259629</v>
      </c>
      <c r="AF402">
        <f>AF401/AF399</f>
        <v>4.983136729222521</v>
      </c>
      <c r="AG402">
        <f>AG401/AG399</f>
        <v>2.2457793457344453</v>
      </c>
      <c r="AH402">
        <f>AH401/AH399</f>
        <v>3.298869201030928</v>
      </c>
      <c r="AI402">
        <f>AI401/AI399</f>
        <v>3.5551038251366123</v>
      </c>
      <c r="AJ402">
        <f>AJ401/AJ399</f>
        <v>3.525324447562259</v>
      </c>
      <c r="AK402">
        <f>AK401/AK399</f>
        <v>3.561045470819907</v>
      </c>
      <c r="AL402">
        <f>AL401/AL399</f>
        <v>6.876472972972973</v>
      </c>
      <c r="AM402">
        <f>AM401/AM399</f>
        <v>5</v>
      </c>
      <c r="AN402">
        <f>AN401/AN399</f>
        <v>5.157894736842105</v>
      </c>
      <c r="AO402">
        <f>AO401/AO399</f>
        <v>5.333333333333333</v>
      </c>
      <c r="AP402">
        <f>AP401/AP399</f>
        <v>5.588235294117647</v>
      </c>
      <c r="AQ402">
        <f>AQ401/AQ399</f>
        <v>5.875</v>
      </c>
    </row>
    <row r="403">
      <c r="C403" t="str">
        <v>-Coversion</v>
      </c>
      <c r="D403" t="str">
        <v>#</v>
      </c>
      <c r="AE403">
        <v>21</v>
      </c>
      <c r="AF403">
        <v>10</v>
      </c>
      <c r="AG403">
        <v>24</v>
      </c>
      <c r="AH403">
        <v>86</v>
      </c>
      <c r="AI403">
        <v>60</v>
      </c>
      <c r="AJ403">
        <v>77</v>
      </c>
      <c r="AK403">
        <v>75</v>
      </c>
      <c r="AL403">
        <v>160</v>
      </c>
      <c r="AM403">
        <v>100</v>
      </c>
      <c r="AN403">
        <v>90</v>
      </c>
      <c r="AO403">
        <v>80</v>
      </c>
      <c r="AP403">
        <v>70</v>
      </c>
      <c r="AQ403">
        <v>60</v>
      </c>
    </row>
    <row r="404">
      <c r="C404" t="str">
        <v>-CPA(Cost Per Acquisition)</v>
      </c>
      <c r="D404" t="str">
        <v>$</v>
      </c>
      <c r="AE404">
        <f>AE401/AE403</f>
        <v>418.89571428571423</v>
      </c>
      <c r="AF404">
        <f>AF401/AF403</f>
        <v>371.742</v>
      </c>
      <c r="AG404">
        <f>AG401/AG403</f>
        <v>437.64625</v>
      </c>
      <c r="AH404">
        <f>AH401/AH403</f>
        <v>119.06616279069767</v>
      </c>
      <c r="AI404">
        <f>AI401/AI403</f>
        <v>162.64600000000002</v>
      </c>
      <c r="AJ404">
        <f>AJ401/AJ403</f>
        <v>130.52857142857144</v>
      </c>
      <c r="AK404">
        <f>AK401/AK403</f>
        <v>132.61333333333334</v>
      </c>
      <c r="AL404">
        <f>AL401/AL403</f>
        <v>63.607375000000005</v>
      </c>
      <c r="AM404">
        <f>AM401/AM403</f>
        <v>100</v>
      </c>
      <c r="AN404">
        <f>AN401/AN403</f>
        <v>108.88888888888889</v>
      </c>
      <c r="AO404">
        <f>AO401/AO403</f>
        <v>120</v>
      </c>
      <c r="AP404">
        <f>AP401/AP403</f>
        <v>135.71428571428572</v>
      </c>
      <c r="AQ404">
        <f>AQ401/AQ403</f>
        <v>156.66666666666666</v>
      </c>
    </row>
    <row r="412">
      <c r="C412" t="str">
        <v>一站式應續保</v>
      </c>
      <c r="D412" t="str">
        <v>#</v>
      </c>
      <c r="AB412">
        <f>AB415+AB416</f>
        <v>99</v>
      </c>
      <c r="AC412">
        <f>AC415+AC416</f>
        <v>250</v>
      </c>
      <c r="AD412">
        <f>AD415+AD416</f>
        <v>275</v>
      </c>
      <c r="AE412">
        <f>AE415+AE416</f>
        <v>396</v>
      </c>
      <c r="AF412">
        <f>AF415+AF416</f>
        <v>410</v>
      </c>
      <c r="AG412">
        <f>AG415+AG416</f>
        <v>372</v>
      </c>
      <c r="AH412">
        <f>AH415+AH416</f>
        <v>365</v>
      </c>
      <c r="AI412">
        <f>AI415+AI416</f>
        <v>395</v>
      </c>
      <c r="AJ412">
        <f>AJ415+AJ416</f>
        <v>347</v>
      </c>
      <c r="AK412">
        <f>AK415+AK416</f>
        <v>460</v>
      </c>
      <c r="AL412">
        <f>AL415+AL416</f>
        <v>459</v>
      </c>
      <c r="AM412">
        <v>504</v>
      </c>
      <c r="AN412">
        <v>319</v>
      </c>
      <c r="AO412">
        <v>316</v>
      </c>
      <c r="AP412">
        <v>350</v>
      </c>
      <c r="AQ412">
        <v>400</v>
      </c>
      <c r="AR412">
        <v>420</v>
      </c>
      <c r="AS412">
        <v>380</v>
      </c>
    </row>
    <row r="413">
      <c r="C413" t="str">
        <v>一站式已續保（原保司）</v>
      </c>
      <c r="D413" t="str">
        <v>#</v>
      </c>
      <c r="AB413">
        <v>35</v>
      </c>
      <c r="AC413">
        <v>132</v>
      </c>
      <c r="AD413">
        <v>141</v>
      </c>
      <c r="AE413">
        <v>210</v>
      </c>
      <c r="AF413">
        <v>218</v>
      </c>
      <c r="AG413">
        <v>189</v>
      </c>
      <c r="AH413">
        <v>206</v>
      </c>
      <c r="AI413">
        <v>218</v>
      </c>
      <c r="AJ413">
        <v>168</v>
      </c>
      <c r="AK413">
        <v>225</v>
      </c>
      <c r="AL413">
        <v>192</v>
      </c>
      <c r="AM413">
        <v>96</v>
      </c>
      <c r="AN413">
        <v>20</v>
      </c>
      <c r="AO413">
        <v>2</v>
      </c>
    </row>
    <row r="414">
      <c r="C414" t="str">
        <v>一站式已續保（換保司）</v>
      </c>
      <c r="D414" t="str">
        <v>#</v>
      </c>
      <c r="AB414">
        <v>4</v>
      </c>
      <c r="AC414">
        <v>2</v>
      </c>
      <c r="AD414">
        <v>2</v>
      </c>
      <c r="AE414">
        <v>2</v>
      </c>
      <c r="AF414">
        <v>2</v>
      </c>
      <c r="AG414">
        <v>3</v>
      </c>
      <c r="AH414">
        <v>8</v>
      </c>
      <c r="AI414">
        <v>9</v>
      </c>
      <c r="AJ414">
        <v>23</v>
      </c>
      <c r="AK414">
        <v>17</v>
      </c>
      <c r="AL414">
        <v>45</v>
      </c>
      <c r="AM414">
        <v>17</v>
      </c>
      <c r="AN414">
        <v>1</v>
      </c>
      <c r="AO414">
        <v>0</v>
      </c>
    </row>
    <row r="415">
      <c r="C415" t="str">
        <v>一站式已續保</v>
      </c>
      <c r="AB415">
        <f>AB413+AB414</f>
        <v>39</v>
      </c>
      <c r="AC415">
        <f>AC413+AC414</f>
        <v>134</v>
      </c>
      <c r="AD415">
        <f>AD413+AD414</f>
        <v>143</v>
      </c>
      <c r="AE415">
        <f>AE413+AE414</f>
        <v>212</v>
      </c>
      <c r="AF415">
        <f>AF413+AF414</f>
        <v>220</v>
      </c>
      <c r="AG415">
        <f>AG413+AG414</f>
        <v>192</v>
      </c>
      <c r="AH415">
        <f>AH413+AH414</f>
        <v>214</v>
      </c>
      <c r="AI415">
        <f>AI413+AI414</f>
        <v>227</v>
      </c>
      <c r="AJ415">
        <f>AJ413+AJ414</f>
        <v>191</v>
      </c>
      <c r="AK415">
        <f>AK413+AK414</f>
        <v>242</v>
      </c>
      <c r="AL415">
        <f>AL413+AL414</f>
        <v>237</v>
      </c>
      <c r="AM415">
        <v>300</v>
      </c>
      <c r="AN415">
        <v>135</v>
      </c>
      <c r="AO415">
        <v>120</v>
      </c>
      <c r="AP415">
        <v>134</v>
      </c>
      <c r="AQ415">
        <v>197</v>
      </c>
      <c r="AR415">
        <v>28</v>
      </c>
      <c r="AS415">
        <v>3</v>
      </c>
    </row>
    <row r="416">
      <c r="C416" t="str">
        <v>一站式未續保</v>
      </c>
      <c r="D416" t="str">
        <v>#</v>
      </c>
      <c r="AB416">
        <v>60</v>
      </c>
      <c r="AC416">
        <v>116</v>
      </c>
      <c r="AD416">
        <v>132</v>
      </c>
      <c r="AE416">
        <v>184</v>
      </c>
      <c r="AF416">
        <v>190</v>
      </c>
      <c r="AG416">
        <v>180</v>
      </c>
      <c r="AH416">
        <v>151</v>
      </c>
      <c r="AI416">
        <v>168</v>
      </c>
      <c r="AJ416">
        <v>156</v>
      </c>
      <c r="AK416">
        <v>218</v>
      </c>
      <c r="AL416">
        <v>222</v>
      </c>
      <c r="AM416">
        <v>204</v>
      </c>
      <c r="AN416">
        <v>184</v>
      </c>
      <c r="AO416">
        <v>196</v>
      </c>
      <c r="AP416">
        <v>216</v>
      </c>
      <c r="AQ416">
        <v>203</v>
      </c>
      <c r="AR416">
        <f>AR412-AR415</f>
        <v>392</v>
      </c>
      <c r="AS416">
        <f>AS412-AS415</f>
        <v>377</v>
      </c>
    </row>
    <row r="417">
      <c r="C417" t="str">
        <v>renewal rate</v>
      </c>
      <c r="D417" t="str">
        <v>%</v>
      </c>
      <c r="AB417">
        <f>AB415/AB412</f>
        <v>0.3939393939393939</v>
      </c>
      <c r="AC417">
        <f>AC415/AC412</f>
        <v>0.536</v>
      </c>
      <c r="AD417">
        <f>AD415/AD412</f>
        <v>0.52</v>
      </c>
      <c r="AE417">
        <f>AE415/AE412</f>
        <v>0.5353535353535354</v>
      </c>
      <c r="AF417">
        <f>AF415/AF412</f>
        <v>0.5365853658536586</v>
      </c>
      <c r="AG417">
        <f>AG415/AG412</f>
        <v>0.5161290322580645</v>
      </c>
      <c r="AH417">
        <f>AH415/AH412</f>
        <v>0.5863013698630137</v>
      </c>
      <c r="AI417">
        <f>AI415/AI412</f>
        <v>0.5746835443037974</v>
      </c>
      <c r="AJ417">
        <f>AJ415/AJ412</f>
        <v>0.5504322766570605</v>
      </c>
      <c r="AK417">
        <f>AK415/AK412</f>
        <v>0.5260869565217391</v>
      </c>
      <c r="AL417">
        <f>AL415/AL412</f>
        <v>0.5163398692810458</v>
      </c>
      <c r="AM417">
        <f>AM415/AM412</f>
        <v>0.5952380952380952</v>
      </c>
      <c r="AN417">
        <f>AN415/AN412</f>
        <v>0.4231974921630094</v>
      </c>
      <c r="AO417">
        <f>AO415/AO412</f>
        <v>0.379746835443038</v>
      </c>
      <c r="AP417">
        <f>AP415/AP412</f>
        <v>0.38285714285714284</v>
      </c>
      <c r="AQ417">
        <f>AQ415/AQ412</f>
        <v>0.4925</v>
      </c>
      <c r="AR417">
        <f>AR415/AR412</f>
        <v>0.06666666666666667</v>
      </c>
      <c r="AS417">
        <f>AS415/AS412</f>
        <v>0.007894736842105263</v>
      </c>
    </row>
    <row r="418">
      <c r="C418" t="str">
        <v>unrenewal rate</v>
      </c>
      <c r="D418" t="str">
        <v>%</v>
      </c>
      <c r="AB418">
        <f>AB416/AB412</f>
        <v>0.6060606060606061</v>
      </c>
      <c r="AC418">
        <f>AC416/AC412</f>
        <v>0.464</v>
      </c>
      <c r="AD418">
        <f>AD416/AD412</f>
        <v>0.48</v>
      </c>
      <c r="AE418">
        <f>AE416/AE412</f>
        <v>0.46464646464646464</v>
      </c>
      <c r="AF418">
        <f>AF416/AF412</f>
        <v>0.4634146341463415</v>
      </c>
      <c r="AG418">
        <f>AG416/AG412</f>
        <v>0.4838709677419355</v>
      </c>
      <c r="AH418">
        <f>AH416/AH412</f>
        <v>0.4136986301369863</v>
      </c>
      <c r="AI418">
        <f>AI416/AI412</f>
        <v>0.4253164556962025</v>
      </c>
      <c r="AJ418">
        <f>AJ416/AJ412</f>
        <v>0.4495677233429395</v>
      </c>
      <c r="AK418">
        <f>AK416/AK412</f>
        <v>0.47391304347826085</v>
      </c>
      <c r="AL418">
        <f>AL416/AL412</f>
        <v>0.48366013071895425</v>
      </c>
      <c r="AM418">
        <f>AM416/AM412</f>
        <v>0.40476190476190477</v>
      </c>
      <c r="AN418">
        <f>AN416/AN412</f>
        <v>0.5768025078369906</v>
      </c>
      <c r="AO418">
        <f>AO416/AO412</f>
        <v>0.620253164556962</v>
      </c>
      <c r="AP418">
        <f>AP416/AP412</f>
        <v>0.6171428571428571</v>
      </c>
      <c r="AQ418">
        <f>AQ416/AQ412</f>
        <v>0.5075</v>
      </c>
      <c r="AR418">
        <f>AR416/AR412</f>
        <v>0.9333333333333333</v>
      </c>
      <c r="AS418">
        <f>AS416/AS412</f>
        <v>0.9921052631578947</v>
      </c>
    </row>
  </sheetData>
  <mergeCells count="6">
    <mergeCell ref="AK2:AV2"/>
    <mergeCell ref="C2:G2"/>
    <mergeCell ref="H2:I2"/>
    <mergeCell ref="K2:L2"/>
    <mergeCell ref="M2:X2"/>
    <mergeCell ref="Y2:AJ2"/>
  </mergeCells>
  <pageMargins left="0.7" right="0.7" top="0.75" bottom="0.75" header="0.3" footer="0.3"/>
  <ignoredErrors>
    <ignoredError numberStoredAsText="1" sqref="A1:AZ418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港车北上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2024-10-31T08:52:01Z</dcterms:created>
  <dcterms:modified xsi:type="dcterms:W3CDTF">2026-10-27T06:38:19Z</dcterms:modified>
  <cp:lastModifiedBy>Bella Hu</cp:lastModifiedBy>
  <dc:creator>Cindy Yao</dc:creator>
</cp:coreProperties>
</file>