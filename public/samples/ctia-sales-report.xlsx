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港车北上" sheetId="1" r:id="rId1"/>
    <sheet name="渠道单数" sheetId="2" r:id="rId2"/>
    <sheet name="渠道金额" sheetId="3" r:id="rId3"/>
    <sheet name="转化率" sheetId="4" r:id="rId4"/>
    <sheet name="SEM" sheetId="5" r:id="rId5"/>
    <sheet name="CTIA B2B" sheetId="6" r:id="rId6"/>
  </sheets>
</workbook>
</file>

<file path=xl/comments1.xml><?xml version="1.0" encoding="utf-8"?>
<comments xmlns="http://schemas.openxmlformats.org/spreadsheetml/2006/main">
  <authors>
    <author>Bella Hu</author>
  </authors>
  <commentList>
    <comment ref="O10" authorId="0">
      <text>
        <t xml:space="preserve">Bella Hu:
两单退保商业险未计入</t>
      </text>
    </comment>
    <comment ref="C14" authorId="0">
      <text>
        <t xml:space="preserve">Bella Hu:
不包括续保</t>
      </text>
    </comment>
    <comment ref="E72" authorId="0">
      <text>
        <t xml:space="preserve">Bella Hu:
仅有23年11月开始数据，仅保留车牌unique value，未判断测试数据</t>
      </text>
    </comment>
    <comment ref="C85" authorId="0">
      <text>
        <t xml:space="preserve">Bella Hu:
不包括续保</t>
      </text>
    </comment>
    <comment ref="C101" authorId="0">
      <text>
        <t xml:space="preserve">Bella Hu:
不包括续保</t>
      </text>
    </comment>
    <comment ref="C103" authorId="0">
      <text>
        <t xml:space="preserve">Bella Hu:
SEM+官网</t>
      </text>
    </comment>
    <comment ref="C110" authorId="0">
      <text>
        <t xml:space="preserve">Bella Hu:
验车中心+天水围+新田</t>
      </text>
    </comment>
    <comment ref="C266" authorId="0">
      <text>
        <t xml:space="preserve">Bella Hu:
不包括续保</t>
      </text>
    </comment>
    <comment ref="C281" authorId="0">
      <text>
        <t xml:space="preserve">Bella Hu:
不含续保</t>
      </text>
    </comment>
    <comment ref="R312" authorId="0">
      <text>
        <t xml:space="preserve">Bella Hu:
6.24-6.30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2">
    <numFmt numFmtId="43" formatCode="_(* #,##0.00_);_(* \(#,##0.00\);_(* &quot;-&quot;??_);_(@_)"/>
    <numFmt numFmtId="56" formatCode="&quot;上午/下午 &quot;hh&quot;時&quot;mm&quot;分&quot;ss&quot;秒 &quot;"/>
    <numFmt numFmtId="164" formatCode="&quot;$&quot;#,##0.00;[Red]\-&quot;$&quot;#,##0.00"/>
    <numFmt numFmtId="165" formatCode="_-&quot;$&quot;* #,##0.00_-;\-&quot;$&quot;* #,##0.00_-;_-&quot;$&quot;* &quot;-&quot;??_-;_-@_-"/>
    <numFmt numFmtId="166" formatCode="&quot;$&quot;#,##0_);[Red]\(&quot;$&quot;#,##0\)"/>
    <numFmt numFmtId="167" formatCode="&quot;$&quot;#,##0.00_);[Red]\(&quot;$&quot;#,##0.00\)"/>
    <numFmt numFmtId="168" formatCode="_(&quot;$&quot;* #,##0.00_);_(&quot;$&quot;* \(#,##0.00\);_(&quot;$&quot;* &quot;-&quot;??_);_(@_)"/>
    <numFmt numFmtId="169" formatCode="_(* #,##0_);_(* \(#,##0\);_(* &quot;-&quot;??_);_(@_)"/>
    <numFmt numFmtId="170" formatCode="_(&quot;$&quot;* #,##0_);_(&quot;$&quot;* \(#,##0\);_(&quot;$&quot;* &quot;-&quot;??_);_(@_)"/>
    <numFmt numFmtId="171" formatCode="&quot;$&quot;#,##0.0_);[Red]\(&quot;$&quot;#,##0.0\)"/>
    <numFmt numFmtId="172" formatCode="_ * #,##0.00_ ;_ * \-#,##0.00_ ;_ * &quot;-&quot;??_ ;_ @_ "/>
    <numFmt numFmtId="173" formatCode="_-&quot;$&quot;* #,##0_-;\-&quot;$&quot;* #,##0_-;_-&quot;$&quot;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V363"/>
  <sheetViews>
    <sheetView workbookViewId="0" rightToLeft="0"/>
  </sheetViews>
  <sheetData>
    <row r="1">
      <c r="Z1">
        <v>83</v>
      </c>
    </row>
    <row r="2" xml:space="preserve">
      <c r="H2" t="str" xml:space="preserve">
        <v xml:space="preserve">YTD_x000d_
Month: Feb 2025</v>
      </c>
      <c r="J2" t="str">
        <v>Previous Month</v>
      </c>
      <c r="K2" t="str" xml:space="preserve">
        <v xml:space="preserve">Current Month_x000d_
Feb 2025</v>
      </c>
      <c r="M2" t="str">
        <v>2024 Act</v>
      </c>
      <c r="Y2" t="str">
        <v>2025 Act</v>
      </c>
      <c r="AK2" t="str">
        <v>2026 Act</v>
      </c>
    </row>
    <row r="4" xml:space="preserve">
      <c r="D4" t="str">
        <v>Unit</v>
      </c>
      <c r="E4" t="str" xml:space="preserve">
        <v xml:space="preserve">2023 Sept-Dec_x000d_
(Act)</v>
      </c>
      <c r="F4" t="str" xml:space="preserve">
        <v xml:space="preserve">2024_x000d_
(Act)</v>
      </c>
      <c r="G4" t="str" xml:space="preserve">
        <v xml:space="preserve">2024_x000d_
(Bud)</v>
      </c>
      <c r="H4" t="str" xml:space="preserve">
        <v xml:space="preserve">YTD_x000d_
(Act)</v>
      </c>
      <c r="I4" t="str" xml:space="preserve">
        <v xml:space="preserve">YTD_x000d_
(Bud)</v>
      </c>
      <c r="J4" t="str" xml:space="preserve">
        <v xml:space="preserve">MTD_x000d_
(Act)</v>
      </c>
      <c r="K4" t="str" xml:space="preserve">
        <v xml:space="preserve">MTD_x000d_
(Act)</v>
      </c>
      <c r="L4" t="str">
        <v>Bud</v>
      </c>
      <c r="M4" t="str">
        <v>Jan 24</v>
      </c>
      <c r="N4" t="str">
        <v>Feb 24</v>
      </c>
      <c r="O4" t="str">
        <v>Mar 24</v>
      </c>
      <c r="P4" t="str">
        <v>Apr 24</v>
      </c>
      <c r="Q4" t="str">
        <v>May 24</v>
      </c>
      <c r="R4" t="str">
        <v>Jun 24</v>
      </c>
      <c r="S4" t="str">
        <v>Jul 24</v>
      </c>
      <c r="T4" t="str">
        <v>Aug 24</v>
      </c>
      <c r="U4" t="str">
        <v>Sep 24</v>
      </c>
      <c r="V4" t="str">
        <v>Oct 24</v>
      </c>
      <c r="W4" t="str">
        <v>Nov 24</v>
      </c>
      <c r="X4" t="str">
        <v>Dec 24</v>
      </c>
      <c r="Y4" t="str">
        <v>Jan 25</v>
      </c>
      <c r="Z4" t="str">
        <v>Feb 25</v>
      </c>
      <c r="AA4" t="str">
        <v>Mar 25</v>
      </c>
      <c r="AB4" t="str">
        <v>Apr 25</v>
      </c>
      <c r="AC4" t="str">
        <v>May 25</v>
      </c>
      <c r="AD4" t="str">
        <v>Jun 25</v>
      </c>
      <c r="AE4" t="str">
        <v>Jul 25</v>
      </c>
      <c r="AF4" t="str">
        <v>Aug 25</v>
      </c>
      <c r="AG4" t="str">
        <v>Sep 25</v>
      </c>
      <c r="AH4" t="str">
        <v>Oct 25</v>
      </c>
      <c r="AI4" t="str">
        <v>Nov 25</v>
      </c>
      <c r="AJ4" t="str">
        <v>Dec 25</v>
      </c>
      <c r="AK4" t="str">
        <v>Jan 26</v>
      </c>
      <c r="AL4" t="str">
        <v>Feb 26</v>
      </c>
      <c r="AM4" t="str">
        <v>Mar 26</v>
      </c>
      <c r="AN4" t="str">
        <v>Apr 26</v>
      </c>
      <c r="AO4" t="str">
        <v>May 26</v>
      </c>
      <c r="AP4" t="str">
        <v>June 26</v>
      </c>
      <c r="AQ4" t="str">
        <v>July 26</v>
      </c>
      <c r="AR4" t="str">
        <v>Aug 26</v>
      </c>
      <c r="AS4" t="str">
        <v>Sept 26</v>
      </c>
      <c r="AT4" t="str">
        <v>Oct 26</v>
      </c>
      <c r="AU4" t="str">
        <v>Nov 26</v>
      </c>
      <c r="AV4" t="str">
        <v>Dec 26</v>
      </c>
    </row>
    <row r="6">
      <c r="B6" t="str">
        <v>Definition</v>
      </c>
      <c r="C6" t="str">
        <v>No. of Working Days</v>
      </c>
      <c r="D6" t="str">
        <v>#</v>
      </c>
      <c r="E6">
        <v>89</v>
      </c>
      <c r="F6">
        <v>22</v>
      </c>
      <c r="H6">
        <v>31</v>
      </c>
      <c r="J6">
        <v>57</v>
      </c>
      <c r="K6">
        <v>70</v>
      </c>
      <c r="M6">
        <v>16</v>
      </c>
      <c r="N6">
        <v>12</v>
      </c>
      <c r="O6">
        <v>25</v>
      </c>
      <c r="P6">
        <v>38</v>
      </c>
      <c r="Q6">
        <v>51</v>
      </c>
      <c r="R6">
        <v>64</v>
      </c>
      <c r="S6">
        <v>77</v>
      </c>
      <c r="T6">
        <v>10</v>
      </c>
      <c r="U6">
        <v>23</v>
      </c>
      <c r="V6">
        <v>19</v>
      </c>
      <c r="W6">
        <v>32</v>
      </c>
      <c r="X6">
        <v>45</v>
      </c>
      <c r="Y6">
        <v>58</v>
      </c>
      <c r="Z6">
        <v>71</v>
      </c>
      <c r="AA6">
        <v>84</v>
      </c>
      <c r="AB6">
        <v>17</v>
      </c>
      <c r="AC6">
        <v>13</v>
      </c>
      <c r="AD6">
        <v>26</v>
      </c>
      <c r="AE6">
        <v>39</v>
      </c>
      <c r="AF6">
        <v>52</v>
      </c>
      <c r="AG6">
        <v>65</v>
      </c>
      <c r="AH6">
        <v>78</v>
      </c>
      <c r="AI6">
        <v>11</v>
      </c>
      <c r="AJ6">
        <v>24</v>
      </c>
      <c r="AK6">
        <v>20</v>
      </c>
      <c r="AL6">
        <v>33</v>
      </c>
      <c r="AM6">
        <v>46</v>
      </c>
      <c r="AN6">
        <v>59</v>
      </c>
      <c r="AO6">
        <v>72</v>
      </c>
      <c r="AP6">
        <v>85</v>
      </c>
      <c r="AQ6">
        <v>18</v>
      </c>
      <c r="AR6">
        <v>14</v>
      </c>
      <c r="AS6">
        <v>27</v>
      </c>
    </row>
    <row r="7">
      <c r="C7" t="str">
        <v>No. of Motor checked</v>
      </c>
      <c r="D7" t="str">
        <v>#</v>
      </c>
      <c r="E7">
        <v>10960</v>
      </c>
      <c r="F7">
        <v>112</v>
      </c>
      <c r="H7">
        <v>138</v>
      </c>
      <c r="J7">
        <v>164</v>
      </c>
      <c r="K7">
        <v>177</v>
      </c>
      <c r="M7">
        <v>106</v>
      </c>
      <c r="N7">
        <v>119</v>
      </c>
      <c r="O7">
        <v>132</v>
      </c>
      <c r="P7">
        <v>145</v>
      </c>
      <c r="Q7">
        <v>158</v>
      </c>
      <c r="R7">
        <v>171</v>
      </c>
      <c r="S7">
        <v>184</v>
      </c>
      <c r="T7">
        <v>100</v>
      </c>
      <c r="U7">
        <v>113</v>
      </c>
      <c r="V7">
        <v>126</v>
      </c>
      <c r="W7">
        <v>139</v>
      </c>
      <c r="X7">
        <v>152</v>
      </c>
      <c r="Y7">
        <v>165</v>
      </c>
      <c r="Z7">
        <v>178</v>
      </c>
      <c r="AA7">
        <v>191</v>
      </c>
      <c r="AB7">
        <v>107</v>
      </c>
      <c r="AC7">
        <v>120</v>
      </c>
      <c r="AD7">
        <v>133</v>
      </c>
      <c r="AE7">
        <v>146</v>
      </c>
      <c r="AF7">
        <v>159</v>
      </c>
      <c r="AG7">
        <v>172</v>
      </c>
      <c r="AH7">
        <v>185</v>
      </c>
      <c r="AI7">
        <v>101</v>
      </c>
      <c r="AJ7">
        <v>114</v>
      </c>
      <c r="AK7">
        <v>127</v>
      </c>
      <c r="AL7">
        <v>140</v>
      </c>
      <c r="AM7">
        <v>153</v>
      </c>
      <c r="AN7">
        <v>166</v>
      </c>
      <c r="AO7">
        <v>179</v>
      </c>
      <c r="AP7">
        <v>192</v>
      </c>
      <c r="AQ7">
        <v>108</v>
      </c>
      <c r="AR7">
        <v>121</v>
      </c>
      <c r="AS7">
        <v>134</v>
      </c>
    </row>
    <row r="9">
      <c r="B9" t="str">
        <v>总保费 港币</v>
      </c>
      <c r="C9" t="str">
        <v>Total Premium</v>
      </c>
      <c r="D9" t="str">
        <v>$</v>
      </c>
      <c r="E9">
        <v>10330</v>
      </c>
      <c r="F9">
        <v>10460</v>
      </c>
      <c r="H9">
        <v>10720</v>
      </c>
      <c r="J9">
        <v>10010</v>
      </c>
      <c r="K9">
        <v>10140</v>
      </c>
      <c r="M9">
        <v>10400</v>
      </c>
      <c r="N9">
        <v>10530</v>
      </c>
      <c r="O9">
        <v>10660</v>
      </c>
      <c r="P9">
        <v>10790</v>
      </c>
      <c r="Q9">
        <v>10920</v>
      </c>
      <c r="R9">
        <v>10080</v>
      </c>
      <c r="S9">
        <v>10210</v>
      </c>
      <c r="T9">
        <v>10340</v>
      </c>
      <c r="U9">
        <v>10470</v>
      </c>
      <c r="V9">
        <v>10600</v>
      </c>
      <c r="W9">
        <v>10730</v>
      </c>
      <c r="X9">
        <v>10860</v>
      </c>
      <c r="Y9">
        <v>10020</v>
      </c>
      <c r="Z9">
        <v>10150</v>
      </c>
      <c r="AA9">
        <v>10280</v>
      </c>
      <c r="AB9">
        <v>10410</v>
      </c>
      <c r="AC9">
        <v>10540</v>
      </c>
      <c r="AD9">
        <v>10670</v>
      </c>
      <c r="AE9">
        <v>10800</v>
      </c>
      <c r="AF9">
        <v>10930</v>
      </c>
      <c r="AG9">
        <v>10090</v>
      </c>
      <c r="AH9">
        <v>10220</v>
      </c>
      <c r="AI9">
        <v>10350</v>
      </c>
      <c r="AJ9">
        <v>10480</v>
      </c>
      <c r="AK9">
        <v>10610</v>
      </c>
      <c r="AL9">
        <v>10740</v>
      </c>
      <c r="AM9">
        <v>10870</v>
      </c>
      <c r="AN9">
        <v>10030</v>
      </c>
      <c r="AO9">
        <v>10160</v>
      </c>
      <c r="AP9">
        <v>10290</v>
      </c>
      <c r="AQ9">
        <v>10420</v>
      </c>
      <c r="AR9">
        <f>AR10+AR11</f>
        <v>0</v>
      </c>
      <c r="AS9">
        <f>AS10+AS11</f>
        <v>0</v>
      </c>
      <c r="AT9">
        <f>AT10+AT11</f>
        <v>0</v>
      </c>
      <c r="AU9">
        <f>AU10+AU11</f>
        <v>0</v>
      </c>
      <c r="AV9">
        <f>AV10+AV11</f>
        <v>0</v>
      </c>
    </row>
    <row r="10">
      <c r="B10" t="str">
        <v>新增投保</v>
      </c>
      <c r="C10" t="str">
        <v xml:space="preserve"> - New Sales</v>
      </c>
      <c r="D10" t="str">
        <v>$</v>
      </c>
      <c r="E10">
        <v>10500</v>
      </c>
      <c r="F10">
        <v>10630</v>
      </c>
      <c r="H10">
        <v>10890</v>
      </c>
      <c r="J10">
        <v>10180</v>
      </c>
      <c r="K10">
        <v>10310</v>
      </c>
      <c r="M10">
        <v>10570</v>
      </c>
      <c r="N10">
        <v>10700</v>
      </c>
      <c r="O10">
        <v>10830</v>
      </c>
      <c r="P10">
        <v>10960</v>
      </c>
      <c r="Q10">
        <v>10120</v>
      </c>
      <c r="R10">
        <v>10250</v>
      </c>
      <c r="S10">
        <v>10380</v>
      </c>
      <c r="T10">
        <v>10510</v>
      </c>
      <c r="U10">
        <v>10640</v>
      </c>
      <c r="V10">
        <v>10770</v>
      </c>
      <c r="W10">
        <v>10900</v>
      </c>
      <c r="X10">
        <v>10060</v>
      </c>
      <c r="Y10">
        <v>10190</v>
      </c>
      <c r="Z10">
        <v>10320</v>
      </c>
      <c r="AA10">
        <v>10450</v>
      </c>
      <c r="AB10">
        <v>10580</v>
      </c>
      <c r="AC10">
        <v>10710</v>
      </c>
      <c r="AD10">
        <v>10840</v>
      </c>
      <c r="AE10">
        <v>10000</v>
      </c>
      <c r="AF10">
        <v>10130</v>
      </c>
      <c r="AG10">
        <v>10260</v>
      </c>
      <c r="AH10">
        <v>10390</v>
      </c>
      <c r="AI10">
        <v>10520</v>
      </c>
      <c r="AJ10">
        <v>10650</v>
      </c>
      <c r="AK10">
        <v>10780</v>
      </c>
      <c r="AL10">
        <v>10910</v>
      </c>
      <c r="AM10">
        <v>10070</v>
      </c>
      <c r="AN10">
        <v>10200</v>
      </c>
      <c r="AO10">
        <v>10330</v>
      </c>
      <c r="AP10">
        <v>10460</v>
      </c>
      <c r="AQ10">
        <v>10590</v>
      </c>
      <c r="AR10">
        <f>AR14+AR37</f>
        <v>0</v>
      </c>
      <c r="AS10">
        <f>AS14+AS37</f>
        <v>0</v>
      </c>
      <c r="AT10">
        <f>AT14+AT37</f>
        <v>0</v>
      </c>
      <c r="AU10">
        <f>AU14+AU37</f>
        <v>0</v>
      </c>
      <c r="AV10">
        <f>AV14+AV37</f>
        <v>0</v>
      </c>
    </row>
    <row r="11">
      <c r="B11" t="str">
        <v>续保投保</v>
      </c>
      <c r="C11" t="str">
        <v xml:space="preserve"> - Renewal</v>
      </c>
      <c r="D11" t="str">
        <v>$</v>
      </c>
      <c r="F11">
        <v>10800</v>
      </c>
      <c r="H11">
        <v>10090</v>
      </c>
      <c r="J11">
        <v>10350</v>
      </c>
      <c r="K11">
        <v>10480</v>
      </c>
      <c r="V11">
        <v>10940</v>
      </c>
      <c r="W11">
        <v>10100</v>
      </c>
      <c r="X11">
        <v>10230</v>
      </c>
      <c r="Y11">
        <v>10360</v>
      </c>
      <c r="Z11">
        <v>10490</v>
      </c>
      <c r="AA11">
        <v>10620</v>
      </c>
      <c r="AB11">
        <v>10750</v>
      </c>
      <c r="AC11">
        <v>10880</v>
      </c>
      <c r="AD11">
        <v>10040</v>
      </c>
      <c r="AE11">
        <v>10170</v>
      </c>
      <c r="AF11">
        <v>10300</v>
      </c>
      <c r="AG11">
        <v>10430</v>
      </c>
      <c r="AH11">
        <v>10560</v>
      </c>
      <c r="AI11">
        <v>10690</v>
      </c>
      <c r="AJ11">
        <f>AJ66+AJ67</f>
        <v>0</v>
      </c>
      <c r="AK11">
        <v>10950</v>
      </c>
      <c r="AL11">
        <v>10110</v>
      </c>
      <c r="AM11">
        <v>10240</v>
      </c>
      <c r="AN11">
        <v>10370</v>
      </c>
      <c r="AO11">
        <v>10500</v>
      </c>
      <c r="AP11">
        <v>10630</v>
      </c>
      <c r="AQ11">
        <v>10760</v>
      </c>
      <c r="AR11">
        <f>AR66+AR67</f>
        <v>0</v>
      </c>
      <c r="AS11">
        <f>AS66+AS67</f>
        <v>0</v>
      </c>
      <c r="AT11">
        <f>AT66+AT67</f>
        <v>0</v>
      </c>
      <c r="AU11">
        <f>AU66+AU67</f>
        <v>0</v>
      </c>
      <c r="AV11">
        <f>AV66+AV67</f>
        <v>0</v>
      </c>
    </row>
    <row r="12">
      <c r="K12">
        <f>Z12</f>
        <v>0</v>
      </c>
    </row>
    <row r="13">
      <c r="C13" t="str">
        <v>Product Breakup</v>
      </c>
      <c r="K13">
        <f>Z13</f>
        <v>0</v>
      </c>
    </row>
    <row r="14">
      <c r="C14" t="str">
        <v>Taiping Product</v>
      </c>
      <c r="D14" t="str">
        <v>$</v>
      </c>
      <c r="E14">
        <v>10210</v>
      </c>
      <c r="F14">
        <v>10340</v>
      </c>
      <c r="H14">
        <v>10600</v>
      </c>
      <c r="J14">
        <v>10860</v>
      </c>
      <c r="K14">
        <v>10020</v>
      </c>
      <c r="M14">
        <v>10280</v>
      </c>
      <c r="N14">
        <v>10410</v>
      </c>
      <c r="O14">
        <v>10540</v>
      </c>
      <c r="P14">
        <v>10670</v>
      </c>
      <c r="Q14">
        <v>10800</v>
      </c>
      <c r="R14">
        <v>10930</v>
      </c>
      <c r="S14">
        <v>10090</v>
      </c>
      <c r="T14">
        <v>10220</v>
      </c>
      <c r="U14">
        <v>10350</v>
      </c>
      <c r="V14">
        <v>10480</v>
      </c>
      <c r="W14">
        <v>10610</v>
      </c>
      <c r="X14">
        <v>10740</v>
      </c>
      <c r="Y14">
        <v>10870</v>
      </c>
      <c r="Z14">
        <v>10030</v>
      </c>
      <c r="AA14">
        <v>10160</v>
      </c>
      <c r="AB14">
        <v>10290</v>
      </c>
      <c r="AC14">
        <v>10420</v>
      </c>
      <c r="AD14">
        <v>10550</v>
      </c>
      <c r="AE14">
        <v>10680</v>
      </c>
      <c r="AF14">
        <v>10810</v>
      </c>
      <c r="AG14">
        <v>10940</v>
      </c>
      <c r="AH14">
        <v>10100</v>
      </c>
      <c r="AI14">
        <v>10230</v>
      </c>
      <c r="AJ14">
        <v>10360</v>
      </c>
      <c r="AK14">
        <v>10490</v>
      </c>
      <c r="AL14">
        <v>10620</v>
      </c>
      <c r="AM14">
        <v>10750</v>
      </c>
      <c r="AN14">
        <v>10880</v>
      </c>
      <c r="AO14">
        <v>10040</v>
      </c>
      <c r="AP14">
        <v>10170</v>
      </c>
      <c r="AQ14">
        <v>10300</v>
      </c>
      <c r="AR14">
        <f>AR15+AR26</f>
        <v>0</v>
      </c>
      <c r="AS14">
        <f>AS15+AS26</f>
        <v>0</v>
      </c>
      <c r="AT14">
        <f>AT15+AT26</f>
        <v>0</v>
      </c>
      <c r="AU14">
        <f>AU15+AU26</f>
        <v>0</v>
      </c>
      <c r="AV14">
        <f>AV15+AV26</f>
        <v>0</v>
      </c>
    </row>
    <row r="15">
      <c r="C15" t="str">
        <v>一站式产品</v>
      </c>
      <c r="AK15">
        <v>10660</v>
      </c>
      <c r="AL15">
        <f>AL16+AL23</f>
        <v>0</v>
      </c>
      <c r="AM15">
        <f>AM16+AM23</f>
        <v>0</v>
      </c>
      <c r="AN15">
        <f>AN16+AN23</f>
        <v>0</v>
      </c>
      <c r="AO15">
        <f>AO16+AO23</f>
        <v>0</v>
      </c>
      <c r="AP15">
        <f>AP16+AP23</f>
        <v>0</v>
      </c>
      <c r="AQ15">
        <f>AQ16+AQ23</f>
        <v>0</v>
      </c>
      <c r="AR15">
        <f>AR16+AR23</f>
        <v>0</v>
      </c>
      <c r="AS15">
        <f>AS16+AS23</f>
        <v>0</v>
      </c>
      <c r="AT15">
        <f>AT16+AT23</f>
        <v>0</v>
      </c>
      <c r="AU15">
        <f>AU16+AU23</f>
        <v>0</v>
      </c>
      <c r="AV15">
        <f>AV16+AV23</f>
        <v>0</v>
      </c>
    </row>
    <row r="16">
      <c r="B16" t="str">
        <v>Webpage, organic, SEM</v>
      </c>
      <c r="C16" t="str">
        <v xml:space="preserve"> - Online channel</v>
      </c>
      <c r="D16" t="str">
        <v>$</v>
      </c>
      <c r="F16">
        <v>10680</v>
      </c>
      <c r="H16">
        <v>10940</v>
      </c>
      <c r="J16">
        <v>10230</v>
      </c>
      <c r="K16">
        <v>10360</v>
      </c>
      <c r="M16">
        <v>10620</v>
      </c>
      <c r="N16">
        <v>10750</v>
      </c>
      <c r="O16">
        <v>10880</v>
      </c>
      <c r="P16">
        <v>10040</v>
      </c>
      <c r="Q16">
        <v>10170</v>
      </c>
      <c r="R16">
        <v>130</v>
      </c>
      <c r="S16">
        <v>10430</v>
      </c>
      <c r="T16">
        <v>10560</v>
      </c>
      <c r="U16">
        <v>10690</v>
      </c>
      <c r="V16">
        <v>10820</v>
      </c>
      <c r="W16">
        <v>10950</v>
      </c>
      <c r="X16">
        <v>10110</v>
      </c>
      <c r="Y16">
        <v>10240</v>
      </c>
      <c r="Z16">
        <v>10370</v>
      </c>
      <c r="AA16">
        <v>10500</v>
      </c>
      <c r="AB16">
        <v>10630</v>
      </c>
      <c r="AC16">
        <v>10760</v>
      </c>
      <c r="AD16">
        <v>10890</v>
      </c>
      <c r="AE16">
        <v>10050</v>
      </c>
      <c r="AF16">
        <v>10180</v>
      </c>
      <c r="AG16">
        <v>10310</v>
      </c>
      <c r="AH16">
        <v>10440</v>
      </c>
      <c r="AI16">
        <v>10570</v>
      </c>
      <c r="AJ16">
        <v>10700</v>
      </c>
      <c r="AK16">
        <v>10830</v>
      </c>
      <c r="AL16">
        <f>SUM(AL17:AL22)</f>
        <v>0</v>
      </c>
      <c r="AM16">
        <f>SUM(AM17:AM22)</f>
        <v>0</v>
      </c>
      <c r="AN16">
        <f>SUM(AN17:AN22)</f>
        <v>0</v>
      </c>
      <c r="AO16">
        <f>SUM(AO17:AO22)</f>
        <v>0</v>
      </c>
      <c r="AP16">
        <f>SUM(AP17:AP22)</f>
        <v>0</v>
      </c>
      <c r="AQ16">
        <f>SUM(AQ17:AQ22)</f>
        <v>0</v>
      </c>
      <c r="AR16">
        <f>SUM(AR17:AR22)</f>
        <v>0</v>
      </c>
      <c r="AS16">
        <f>SUM(AS17:AS22)</f>
        <v>0</v>
      </c>
      <c r="AT16">
        <f>SUM(AT17:AT22)</f>
        <v>0</v>
      </c>
      <c r="AU16">
        <f>SUM(AU17:AU22)</f>
        <v>0</v>
      </c>
      <c r="AV16">
        <f>SUM(AV17:AV22)</f>
        <v>0</v>
      </c>
    </row>
    <row r="17">
      <c r="C17" t="str">
        <v>官网</v>
      </c>
      <c r="D17" t="str">
        <v>$</v>
      </c>
      <c r="T17">
        <v>10730</v>
      </c>
      <c r="U17">
        <v>10860</v>
      </c>
      <c r="V17">
        <v>10020</v>
      </c>
      <c r="W17">
        <v>10150</v>
      </c>
      <c r="X17">
        <v>10280</v>
      </c>
      <c r="Y17">
        <v>10410</v>
      </c>
      <c r="Z17">
        <v>10540</v>
      </c>
      <c r="AA17">
        <v>10670</v>
      </c>
      <c r="AB17">
        <v>10800</v>
      </c>
      <c r="AC17">
        <v>10930</v>
      </c>
      <c r="AD17">
        <v>10090</v>
      </c>
      <c r="AE17">
        <v>10220</v>
      </c>
      <c r="AF17">
        <v>10350</v>
      </c>
      <c r="AG17">
        <v>10480</v>
      </c>
      <c r="AH17">
        <v>10610</v>
      </c>
      <c r="AI17">
        <v>10740</v>
      </c>
      <c r="AJ17">
        <v>10870</v>
      </c>
      <c r="AK17">
        <v>10030</v>
      </c>
    </row>
    <row r="18">
      <c r="C18" t="str">
        <v>谷歌SEM</v>
      </c>
      <c r="D18" t="str">
        <v>$</v>
      </c>
      <c r="T18">
        <v>10900</v>
      </c>
      <c r="U18">
        <v>10060</v>
      </c>
      <c r="V18">
        <v>10190</v>
      </c>
      <c r="W18">
        <v>10320</v>
      </c>
      <c r="X18">
        <v>10450</v>
      </c>
      <c r="Y18">
        <v>10580</v>
      </c>
      <c r="Z18">
        <v>10710</v>
      </c>
      <c r="AA18">
        <v>10840</v>
      </c>
      <c r="AB18">
        <v>10000</v>
      </c>
      <c r="AC18">
        <v>10130</v>
      </c>
      <c r="AD18">
        <v>10260</v>
      </c>
      <c r="AE18">
        <v>10390</v>
      </c>
      <c r="AF18">
        <v>10520</v>
      </c>
      <c r="AG18">
        <v>10650</v>
      </c>
      <c r="AH18">
        <v>10780</v>
      </c>
      <c r="AI18">
        <v>10910</v>
      </c>
      <c r="AJ18">
        <v>10070</v>
      </c>
      <c r="AK18">
        <v>10200</v>
      </c>
    </row>
    <row r="19">
      <c r="C19" t="str">
        <v>验车网站</v>
      </c>
      <c r="D19" t="str">
        <v>$</v>
      </c>
      <c r="T19">
        <v>10100</v>
      </c>
      <c r="U19">
        <v>10230</v>
      </c>
      <c r="V19">
        <v>10360</v>
      </c>
      <c r="W19">
        <v>10490</v>
      </c>
      <c r="X19">
        <v>10620</v>
      </c>
      <c r="Y19">
        <v>10750</v>
      </c>
      <c r="Z19">
        <v>10880</v>
      </c>
      <c r="AA19">
        <v>10040</v>
      </c>
      <c r="AB19">
        <v>10170</v>
      </c>
      <c r="AC19">
        <v>10300</v>
      </c>
      <c r="AD19">
        <v>10430</v>
      </c>
      <c r="AE19">
        <v>10560</v>
      </c>
      <c r="AF19">
        <v>10690</v>
      </c>
      <c r="AG19">
        <v>10820</v>
      </c>
      <c r="AH19">
        <v>10950</v>
      </c>
      <c r="AI19">
        <v>10110</v>
      </c>
      <c r="AJ19">
        <v>10240</v>
      </c>
      <c r="AK19">
        <v>10370</v>
      </c>
    </row>
    <row r="20">
      <c r="C20" t="str">
        <v>Facebook</v>
      </c>
      <c r="D20" t="str">
        <v>$</v>
      </c>
      <c r="AE20">
        <v>173</v>
      </c>
      <c r="AF20">
        <v>186</v>
      </c>
      <c r="AG20">
        <v>102</v>
      </c>
      <c r="AH20">
        <v>115</v>
      </c>
      <c r="AK20">
        <v>154</v>
      </c>
    </row>
    <row r="21">
      <c r="C21" t="str">
        <v>新田（25年11月及之后，如有）</v>
      </c>
      <c r="D21" t="str">
        <v>$</v>
      </c>
    </row>
    <row r="22">
      <c r="C22" t="str">
        <v>电邮</v>
      </c>
    </row>
    <row r="23">
      <c r="B23" t="str">
        <v>QR code+redirect</v>
      </c>
      <c r="C23" t="str">
        <v xml:space="preserve"> - CTG channel</v>
      </c>
      <c r="D23" t="str">
        <v>$</v>
      </c>
      <c r="F23">
        <v>10900</v>
      </c>
      <c r="H23">
        <v>10190</v>
      </c>
      <c r="J23">
        <v>10450</v>
      </c>
      <c r="K23">
        <v>10580</v>
      </c>
      <c r="O23">
        <v>10130</v>
      </c>
      <c r="P23">
        <v>10260</v>
      </c>
      <c r="Q23">
        <v>10390</v>
      </c>
      <c r="R23">
        <v>10520</v>
      </c>
      <c r="S23">
        <v>10650</v>
      </c>
      <c r="T23">
        <v>10780</v>
      </c>
      <c r="U23">
        <v>10910</v>
      </c>
      <c r="V23">
        <v>10070</v>
      </c>
      <c r="W23">
        <v>10200</v>
      </c>
      <c r="X23">
        <v>10330</v>
      </c>
      <c r="Y23">
        <v>10460</v>
      </c>
      <c r="Z23">
        <v>10590</v>
      </c>
      <c r="AA23">
        <v>10720</v>
      </c>
      <c r="AB23">
        <v>10850</v>
      </c>
      <c r="AC23">
        <v>101</v>
      </c>
      <c r="AD23">
        <v>10140</v>
      </c>
      <c r="AE23">
        <v>10270</v>
      </c>
      <c r="AF23">
        <v>140</v>
      </c>
      <c r="AG23">
        <v>153</v>
      </c>
      <c r="AH23">
        <v>10660</v>
      </c>
      <c r="AI23">
        <v>179</v>
      </c>
      <c r="AJ23">
        <v>192</v>
      </c>
      <c r="AK23">
        <v>108</v>
      </c>
      <c r="AL23">
        <f>SUM(AL24:AL25)</f>
        <v>0</v>
      </c>
      <c r="AM23">
        <f>SUM(AM24:AM25)</f>
        <v>0</v>
      </c>
      <c r="AN23">
        <f>SUM(AN24:AN25)</f>
        <v>0</v>
      </c>
      <c r="AO23">
        <f>SUM(AO24:AO25)</f>
        <v>0</v>
      </c>
      <c r="AP23">
        <f>SUM(AP24:AP25)</f>
        <v>0</v>
      </c>
      <c r="AQ23">
        <f>SUM(AQ24:AQ25)</f>
        <v>0</v>
      </c>
      <c r="AR23">
        <f>SUM(AR24:AR25)</f>
        <v>0</v>
      </c>
      <c r="AS23">
        <f>SUM(AS24:AS25)</f>
        <v>0</v>
      </c>
      <c r="AT23">
        <f>SUM(AT24:AT25)</f>
        <v>0</v>
      </c>
      <c r="AU23">
        <f>SUM(AU24:AU25)</f>
        <v>0</v>
      </c>
      <c r="AV23">
        <f>SUM(AV24:AV25)</f>
        <v>0</v>
      </c>
    </row>
    <row r="24">
      <c r="C24" t="str">
        <v>天水围</v>
      </c>
      <c r="D24" t="str">
        <v>$</v>
      </c>
      <c r="T24">
        <v>195</v>
      </c>
      <c r="U24">
        <v>111</v>
      </c>
      <c r="V24">
        <v>10240</v>
      </c>
      <c r="W24">
        <v>10370</v>
      </c>
      <c r="X24">
        <v>10500</v>
      </c>
      <c r="Y24">
        <v>163</v>
      </c>
      <c r="Z24">
        <v>10760</v>
      </c>
      <c r="AA24">
        <v>10890</v>
      </c>
      <c r="AB24">
        <v>10050</v>
      </c>
      <c r="AC24">
        <v>118</v>
      </c>
      <c r="AD24">
        <v>10310</v>
      </c>
      <c r="AE24">
        <v>10440</v>
      </c>
      <c r="AF24">
        <v>157</v>
      </c>
      <c r="AG24">
        <v>170</v>
      </c>
      <c r="AH24">
        <v>10830</v>
      </c>
      <c r="AI24">
        <v>196</v>
      </c>
      <c r="AJ24">
        <v>112</v>
      </c>
      <c r="AK24">
        <v>125</v>
      </c>
    </row>
    <row r="25">
      <c r="C25" t="str">
        <v>新田（25年10月及之前）</v>
      </c>
      <c r="D25" t="str">
        <v>$</v>
      </c>
      <c r="T25">
        <v>10150</v>
      </c>
      <c r="U25">
        <v>10280</v>
      </c>
      <c r="V25">
        <v>10410</v>
      </c>
      <c r="W25">
        <v>10540</v>
      </c>
      <c r="X25">
        <v>10670</v>
      </c>
      <c r="Y25">
        <v>10800</v>
      </c>
      <c r="Z25">
        <v>10930</v>
      </c>
      <c r="AA25">
        <v>10090</v>
      </c>
      <c r="AG25">
        <v>187</v>
      </c>
    </row>
    <row r="26">
      <c r="C26" t="str">
        <v>等效先认产品</v>
      </c>
      <c r="AK26">
        <f>AK27+AK34</f>
        <v>0</v>
      </c>
      <c r="AL26">
        <v>10720</v>
      </c>
      <c r="AM26">
        <v>10850</v>
      </c>
      <c r="AN26">
        <v>10010</v>
      </c>
      <c r="AO26">
        <v>10140</v>
      </c>
      <c r="AP26">
        <v>10270</v>
      </c>
      <c r="AQ26">
        <v>10400</v>
      </c>
      <c r="AR26">
        <f>AR27+AR34</f>
        <v>0</v>
      </c>
      <c r="AS26">
        <f>AS27+AS34</f>
        <v>0</v>
      </c>
      <c r="AT26">
        <f>AT27+AT34</f>
        <v>0</v>
      </c>
      <c r="AU26">
        <f>AU27+AU34</f>
        <v>0</v>
      </c>
      <c r="AV26">
        <f>AV27+AV34</f>
        <v>0</v>
      </c>
    </row>
    <row r="27">
      <c r="B27" t="str">
        <v>Webpage, organic, SEM</v>
      </c>
      <c r="C27" t="str">
        <v xml:space="preserve"> - Online channel</v>
      </c>
      <c r="D27" t="str">
        <v>$</v>
      </c>
      <c r="AK27">
        <f>SUM(AK28:AK33)</f>
        <v>0</v>
      </c>
      <c r="AL27">
        <v>10890</v>
      </c>
      <c r="AM27">
        <v>10050</v>
      </c>
      <c r="AN27">
        <v>10180</v>
      </c>
      <c r="AO27">
        <v>10310</v>
      </c>
      <c r="AP27">
        <v>10440</v>
      </c>
      <c r="AQ27">
        <v>10570</v>
      </c>
      <c r="AR27">
        <f>SUM(AR28:AR33)</f>
        <v>0</v>
      </c>
      <c r="AS27">
        <f>SUM(AS28:AS33)</f>
        <v>0</v>
      </c>
      <c r="AT27">
        <f>SUM(AT28:AT33)</f>
        <v>0</v>
      </c>
      <c r="AU27">
        <f>SUM(AU28:AU33)</f>
        <v>0</v>
      </c>
      <c r="AV27">
        <f>SUM(AV28:AV33)</f>
        <v>0</v>
      </c>
    </row>
    <row r="28">
      <c r="C28" t="str">
        <v>官网</v>
      </c>
      <c r="D28" t="str">
        <v>$</v>
      </c>
      <c r="AL28">
        <v>10090</v>
      </c>
      <c r="AM28">
        <v>10220</v>
      </c>
      <c r="AN28">
        <v>10350</v>
      </c>
      <c r="AO28">
        <v>10480</v>
      </c>
      <c r="AP28">
        <v>10610</v>
      </c>
      <c r="AQ28">
        <v>10740</v>
      </c>
    </row>
    <row r="29">
      <c r="C29" t="str">
        <v>谷歌SEM</v>
      </c>
      <c r="D29" t="str">
        <v>$</v>
      </c>
      <c r="AL29">
        <v>126</v>
      </c>
      <c r="AM29">
        <v>10390</v>
      </c>
      <c r="AN29">
        <v>10520</v>
      </c>
      <c r="AO29">
        <v>10650</v>
      </c>
      <c r="AP29">
        <v>10780</v>
      </c>
      <c r="AQ29">
        <v>10910</v>
      </c>
    </row>
    <row r="30">
      <c r="C30" t="str">
        <v>验车网站</v>
      </c>
      <c r="D30" t="str">
        <v>$</v>
      </c>
      <c r="AL30">
        <v>10430</v>
      </c>
      <c r="AM30">
        <v>10560</v>
      </c>
      <c r="AN30">
        <v>10690</v>
      </c>
      <c r="AO30">
        <v>10820</v>
      </c>
      <c r="AP30">
        <v>10950</v>
      </c>
      <c r="AQ30">
        <v>10110</v>
      </c>
    </row>
    <row r="31">
      <c r="C31" t="str">
        <v>Facebook</v>
      </c>
      <c r="D31" t="str">
        <v>$</v>
      </c>
      <c r="AL31">
        <v>160</v>
      </c>
      <c r="AM31">
        <v>10730</v>
      </c>
      <c r="AN31">
        <v>10860</v>
      </c>
      <c r="AO31">
        <v>10020</v>
      </c>
      <c r="AP31">
        <v>115</v>
      </c>
      <c r="AQ31">
        <v>10280</v>
      </c>
    </row>
    <row r="32">
      <c r="C32" t="str">
        <v>新田（25年11月及之后，如有）</v>
      </c>
      <c r="D32" t="str">
        <v>$</v>
      </c>
      <c r="AL32">
        <v>177</v>
      </c>
    </row>
    <row r="33">
      <c r="C33" t="str">
        <v>电邮</v>
      </c>
      <c r="AN33">
        <v>10230</v>
      </c>
      <c r="AO33">
        <v>136</v>
      </c>
      <c r="AP33">
        <v>10490</v>
      </c>
      <c r="AQ33">
        <v>162</v>
      </c>
    </row>
    <row r="34">
      <c r="B34" t="str">
        <v>QR code+redirect</v>
      </c>
      <c r="C34" t="str">
        <v xml:space="preserve"> - CTG channel</v>
      </c>
      <c r="D34" t="str">
        <v>$</v>
      </c>
      <c r="AL34">
        <v>114</v>
      </c>
      <c r="AM34">
        <v>127</v>
      </c>
      <c r="AN34">
        <v>140</v>
      </c>
      <c r="AO34">
        <v>153</v>
      </c>
      <c r="AP34">
        <v>166</v>
      </c>
      <c r="AQ34">
        <v>179</v>
      </c>
      <c r="AR34">
        <f>SUM(AR35:AR36)</f>
        <v>0</v>
      </c>
      <c r="AS34">
        <f>SUM(AS35:AS36)</f>
        <v>0</v>
      </c>
      <c r="AT34">
        <f>SUM(AT35:AT36)</f>
        <v>0</v>
      </c>
      <c r="AU34">
        <f>SUM(AU35:AU36)</f>
        <v>0</v>
      </c>
      <c r="AV34">
        <f>SUM(AV35:AV36)</f>
        <v>0</v>
      </c>
    </row>
    <row r="35">
      <c r="C35" t="str">
        <v>天水围</v>
      </c>
      <c r="D35" t="str">
        <v>$</v>
      </c>
      <c r="AL35">
        <v>131</v>
      </c>
      <c r="AM35">
        <v>144</v>
      </c>
      <c r="AN35">
        <v>157</v>
      </c>
      <c r="AO35">
        <v>170</v>
      </c>
      <c r="AP35">
        <v>183</v>
      </c>
      <c r="AQ35">
        <v>196</v>
      </c>
    </row>
    <row r="36">
      <c r="C36" t="str">
        <v>新田（25年10月及之前）</v>
      </c>
      <c r="D36" t="str">
        <v>$</v>
      </c>
    </row>
    <row r="37">
      <c r="C37" t="str">
        <v>PICC Product</v>
      </c>
      <c r="D37" t="str">
        <v>$</v>
      </c>
      <c r="F37">
        <v>10370</v>
      </c>
      <c r="H37">
        <v>10630</v>
      </c>
      <c r="J37">
        <v>10890</v>
      </c>
      <c r="K37">
        <v>10050</v>
      </c>
      <c r="O37">
        <v>157</v>
      </c>
      <c r="P37">
        <v>170</v>
      </c>
      <c r="Q37">
        <v>10830</v>
      </c>
      <c r="R37">
        <v>10960</v>
      </c>
      <c r="S37">
        <v>10120</v>
      </c>
      <c r="T37">
        <v>10250</v>
      </c>
      <c r="U37">
        <v>10380</v>
      </c>
      <c r="V37">
        <v>10510</v>
      </c>
      <c r="W37">
        <v>10640</v>
      </c>
      <c r="X37">
        <v>10770</v>
      </c>
      <c r="Y37">
        <v>10900</v>
      </c>
      <c r="Z37">
        <v>10060</v>
      </c>
      <c r="AA37">
        <v>10190</v>
      </c>
      <c r="AB37">
        <v>10320</v>
      </c>
      <c r="AC37">
        <v>10450</v>
      </c>
      <c r="AD37">
        <v>10580</v>
      </c>
      <c r="AE37">
        <v>10710</v>
      </c>
      <c r="AF37">
        <v>10840</v>
      </c>
      <c r="AG37">
        <v>10000</v>
      </c>
      <c r="AH37">
        <v>10130</v>
      </c>
      <c r="AI37">
        <v>10260</v>
      </c>
      <c r="AJ37">
        <v>10390</v>
      </c>
      <c r="AK37">
        <v>10520</v>
      </c>
      <c r="AL37">
        <v>10650</v>
      </c>
      <c r="AM37">
        <v>10780</v>
      </c>
      <c r="AN37">
        <v>10910</v>
      </c>
      <c r="AO37">
        <v>10070</v>
      </c>
      <c r="AP37">
        <v>10200</v>
      </c>
      <c r="AQ37">
        <v>10330</v>
      </c>
      <c r="AR37">
        <f>AR38+AR50</f>
        <v>0</v>
      </c>
      <c r="AS37">
        <f>AS38+AS50</f>
        <v>0</v>
      </c>
      <c r="AT37">
        <f>AT38+AT50</f>
        <v>0</v>
      </c>
      <c r="AU37">
        <f>AU38+AU50</f>
        <v>0</v>
      </c>
      <c r="AV37">
        <f>AV38+AV50</f>
        <v>0</v>
      </c>
    </row>
    <row r="38">
      <c r="C38" t="str">
        <v>一站式产品</v>
      </c>
      <c r="AK38">
        <v>10690</v>
      </c>
      <c r="AL38">
        <v>10820</v>
      </c>
      <c r="AM38">
        <v>10950</v>
      </c>
      <c r="AN38">
        <v>10110</v>
      </c>
      <c r="AO38">
        <v>10240</v>
      </c>
      <c r="AP38">
        <v>10370</v>
      </c>
      <c r="AQ38">
        <v>10500</v>
      </c>
      <c r="AR38">
        <f>AR39+AR46</f>
        <v>0</v>
      </c>
      <c r="AS38">
        <f>AS39+AS46</f>
        <v>0</v>
      </c>
      <c r="AT38">
        <f>AT39+AT46</f>
        <v>0</v>
      </c>
      <c r="AU38">
        <f>AU39+AU46</f>
        <v>0</v>
      </c>
      <c r="AV38">
        <f>AV39+AV46</f>
        <v>0</v>
      </c>
    </row>
    <row r="39">
      <c r="C39" t="str">
        <v xml:space="preserve"> - Online channel</v>
      </c>
      <c r="D39" t="str">
        <v>$</v>
      </c>
      <c r="F39">
        <v>10710</v>
      </c>
      <c r="H39">
        <v>10000</v>
      </c>
      <c r="J39">
        <v>10260</v>
      </c>
      <c r="K39">
        <v>10390</v>
      </c>
      <c r="Q39">
        <v>10200</v>
      </c>
      <c r="R39">
        <v>10330</v>
      </c>
      <c r="S39">
        <v>10460</v>
      </c>
      <c r="T39">
        <v>10590</v>
      </c>
      <c r="U39">
        <v>10720</v>
      </c>
      <c r="V39">
        <v>10850</v>
      </c>
      <c r="W39">
        <v>10010</v>
      </c>
      <c r="X39">
        <v>10140</v>
      </c>
      <c r="Y39">
        <v>10270</v>
      </c>
      <c r="Z39">
        <v>10400</v>
      </c>
      <c r="AA39">
        <v>10530</v>
      </c>
      <c r="AB39">
        <v>10660</v>
      </c>
      <c r="AC39">
        <v>10790</v>
      </c>
      <c r="AD39">
        <v>10920</v>
      </c>
      <c r="AE39">
        <v>10080</v>
      </c>
      <c r="AF39">
        <v>10210</v>
      </c>
      <c r="AG39">
        <v>10340</v>
      </c>
      <c r="AH39">
        <v>10470</v>
      </c>
      <c r="AI39">
        <v>10600</v>
      </c>
      <c r="AJ39">
        <v>10730</v>
      </c>
      <c r="AK39">
        <v>10860</v>
      </c>
      <c r="AL39">
        <v>10020</v>
      </c>
      <c r="AM39">
        <v>10150</v>
      </c>
      <c r="AN39">
        <v>10280</v>
      </c>
      <c r="AO39">
        <v>10410</v>
      </c>
      <c r="AP39">
        <v>10540</v>
      </c>
      <c r="AQ39">
        <v>10670</v>
      </c>
      <c r="AR39">
        <f>SUM(AR40:AR45)</f>
        <v>0</v>
      </c>
      <c r="AS39">
        <f>SUM(AS40:AS45)</f>
        <v>0</v>
      </c>
      <c r="AT39">
        <f>SUM(AT40:AT45)</f>
        <v>0</v>
      </c>
      <c r="AU39">
        <f>SUM(AU40:AU45)</f>
        <v>0</v>
      </c>
      <c r="AV39">
        <f>SUM(AV40:AV45)</f>
        <v>0</v>
      </c>
    </row>
    <row r="40">
      <c r="C40" t="str">
        <v>官网</v>
      </c>
      <c r="D40" t="str">
        <v>$</v>
      </c>
      <c r="T40">
        <v>10760</v>
      </c>
      <c r="U40">
        <v>10890</v>
      </c>
      <c r="V40">
        <v>10050</v>
      </c>
      <c r="W40">
        <v>10180</v>
      </c>
      <c r="X40">
        <v>10310</v>
      </c>
      <c r="Y40">
        <v>10440</v>
      </c>
      <c r="Z40">
        <v>10570</v>
      </c>
      <c r="AA40">
        <v>10700</v>
      </c>
      <c r="AB40">
        <v>10830</v>
      </c>
      <c r="AC40">
        <v>10960</v>
      </c>
      <c r="AD40">
        <v>10120</v>
      </c>
      <c r="AE40">
        <v>10250</v>
      </c>
      <c r="AF40">
        <v>10380</v>
      </c>
      <c r="AG40">
        <v>10510</v>
      </c>
      <c r="AH40">
        <v>10640</v>
      </c>
      <c r="AI40">
        <v>10770</v>
      </c>
      <c r="AJ40">
        <v>10900</v>
      </c>
      <c r="AK40">
        <v>10060</v>
      </c>
      <c r="AL40">
        <v>119</v>
      </c>
      <c r="AM40">
        <v>10320</v>
      </c>
      <c r="AN40">
        <v>145</v>
      </c>
      <c r="AO40">
        <v>10580</v>
      </c>
      <c r="AP40">
        <v>171</v>
      </c>
      <c r="AQ40">
        <v>10840</v>
      </c>
    </row>
    <row r="41">
      <c r="C41" t="str">
        <v>谷歌SEM</v>
      </c>
      <c r="D41" t="str">
        <v>$</v>
      </c>
      <c r="T41">
        <v>10930</v>
      </c>
      <c r="U41">
        <v>10090</v>
      </c>
      <c r="V41">
        <v>10220</v>
      </c>
      <c r="W41">
        <v>10350</v>
      </c>
      <c r="X41">
        <v>10480</v>
      </c>
      <c r="Y41">
        <v>10610</v>
      </c>
      <c r="Z41">
        <v>10740</v>
      </c>
      <c r="AA41">
        <v>10870</v>
      </c>
      <c r="AB41">
        <v>10030</v>
      </c>
      <c r="AC41">
        <v>10160</v>
      </c>
      <c r="AD41">
        <v>10290</v>
      </c>
      <c r="AE41">
        <v>10420</v>
      </c>
      <c r="AF41">
        <v>10550</v>
      </c>
      <c r="AG41">
        <v>10680</v>
      </c>
      <c r="AH41">
        <v>10810</v>
      </c>
      <c r="AI41">
        <v>10940</v>
      </c>
      <c r="AJ41">
        <v>10100</v>
      </c>
      <c r="AK41">
        <v>10230</v>
      </c>
      <c r="AM41">
        <v>149</v>
      </c>
      <c r="AN41">
        <v>162</v>
      </c>
      <c r="AP41">
        <v>188</v>
      </c>
    </row>
    <row r="42">
      <c r="C42" t="str">
        <v>验车网站</v>
      </c>
      <c r="D42" t="str">
        <v>$</v>
      </c>
      <c r="T42">
        <v>10130</v>
      </c>
      <c r="U42">
        <v>10260</v>
      </c>
      <c r="V42">
        <v>10390</v>
      </c>
      <c r="W42">
        <v>10520</v>
      </c>
      <c r="X42">
        <v>10650</v>
      </c>
      <c r="Y42">
        <v>10780</v>
      </c>
      <c r="Z42">
        <v>10910</v>
      </c>
      <c r="AA42">
        <v>10070</v>
      </c>
      <c r="AB42">
        <v>10200</v>
      </c>
      <c r="AC42">
        <v>10330</v>
      </c>
      <c r="AD42">
        <v>10460</v>
      </c>
      <c r="AE42">
        <v>10590</v>
      </c>
      <c r="AF42">
        <v>10720</v>
      </c>
      <c r="AG42">
        <v>185</v>
      </c>
      <c r="AH42">
        <v>10010</v>
      </c>
      <c r="AI42">
        <v>114</v>
      </c>
      <c r="AJ42">
        <v>127</v>
      </c>
      <c r="AK42">
        <v>10400</v>
      </c>
      <c r="AL42">
        <v>153</v>
      </c>
      <c r="AM42">
        <v>166</v>
      </c>
      <c r="AO42">
        <v>192</v>
      </c>
      <c r="AQ42">
        <v>121</v>
      </c>
    </row>
    <row r="43">
      <c r="C43" t="str">
        <v>Facebook</v>
      </c>
      <c r="D43" t="str">
        <v>$</v>
      </c>
      <c r="AG43">
        <v>105</v>
      </c>
      <c r="AK43">
        <v>157</v>
      </c>
    </row>
    <row r="44">
      <c r="C44" t="str">
        <v>新田（25年11月及之后，如有）</v>
      </c>
      <c r="D44" t="str">
        <v>$</v>
      </c>
    </row>
    <row r="45">
      <c r="C45" t="str">
        <v>电邮</v>
      </c>
      <c r="AN45">
        <v>133</v>
      </c>
    </row>
    <row r="46">
      <c r="C46" t="str">
        <v xml:space="preserve"> - CTG channel</v>
      </c>
      <c r="D46" t="str">
        <v>$</v>
      </c>
      <c r="F46">
        <v>10930</v>
      </c>
      <c r="H46">
        <v>10220</v>
      </c>
      <c r="J46">
        <v>10480</v>
      </c>
      <c r="K46">
        <v>10610</v>
      </c>
      <c r="Q46">
        <v>10420</v>
      </c>
      <c r="R46">
        <v>10550</v>
      </c>
      <c r="S46">
        <v>10680</v>
      </c>
      <c r="T46">
        <v>10810</v>
      </c>
      <c r="U46">
        <v>10940</v>
      </c>
      <c r="V46">
        <v>10100</v>
      </c>
      <c r="W46">
        <v>10230</v>
      </c>
      <c r="X46">
        <v>10360</v>
      </c>
      <c r="Y46">
        <v>10490</v>
      </c>
      <c r="Z46">
        <v>10620</v>
      </c>
      <c r="AA46">
        <v>10750</v>
      </c>
      <c r="AB46">
        <v>10880</v>
      </c>
      <c r="AC46">
        <v>10040</v>
      </c>
      <c r="AD46">
        <v>10170</v>
      </c>
      <c r="AE46">
        <v>10300</v>
      </c>
      <c r="AF46">
        <v>10430</v>
      </c>
      <c r="AG46">
        <v>10560</v>
      </c>
      <c r="AH46">
        <v>10690</v>
      </c>
      <c r="AI46">
        <v>10820</v>
      </c>
      <c r="AJ46">
        <v>10950</v>
      </c>
      <c r="AK46">
        <v>10110</v>
      </c>
      <c r="AL46">
        <v>10240</v>
      </c>
      <c r="AM46">
        <v>10370</v>
      </c>
      <c r="AN46">
        <v>10500</v>
      </c>
      <c r="AO46">
        <v>10630</v>
      </c>
      <c r="AP46">
        <v>10760</v>
      </c>
      <c r="AQ46">
        <v>10890</v>
      </c>
      <c r="AR46">
        <f>SUM(AR47:AR48)</f>
        <v>0</v>
      </c>
      <c r="AS46">
        <f>SUM(AS47:AS48)</f>
        <v>0</v>
      </c>
      <c r="AT46">
        <f>SUM(AT47:AT48)</f>
        <v>0</v>
      </c>
      <c r="AU46">
        <f>SUM(AU47:AU48)</f>
        <v>0</v>
      </c>
      <c r="AV46">
        <f>SUM(AV47:AV48)</f>
        <v>0</v>
      </c>
    </row>
    <row r="47">
      <c r="C47" t="str">
        <v>天水围</v>
      </c>
      <c r="D47" t="str">
        <v>$</v>
      </c>
      <c r="T47">
        <v>10010</v>
      </c>
      <c r="U47">
        <v>10140</v>
      </c>
      <c r="V47">
        <v>10270</v>
      </c>
      <c r="W47">
        <v>10400</v>
      </c>
      <c r="X47">
        <v>10530</v>
      </c>
      <c r="Y47">
        <v>10660</v>
      </c>
      <c r="Z47">
        <v>10790</v>
      </c>
      <c r="AA47">
        <v>10920</v>
      </c>
      <c r="AB47">
        <v>10080</v>
      </c>
      <c r="AC47">
        <v>10210</v>
      </c>
      <c r="AD47">
        <v>10340</v>
      </c>
      <c r="AE47">
        <v>10470</v>
      </c>
      <c r="AF47">
        <v>10600</v>
      </c>
      <c r="AG47">
        <v>10730</v>
      </c>
      <c r="AH47">
        <v>10860</v>
      </c>
      <c r="AI47">
        <v>10020</v>
      </c>
      <c r="AJ47">
        <v>10150</v>
      </c>
      <c r="AK47">
        <v>10280</v>
      </c>
      <c r="AL47">
        <v>10410</v>
      </c>
      <c r="AM47">
        <v>10540</v>
      </c>
      <c r="AN47">
        <v>10670</v>
      </c>
      <c r="AO47">
        <v>10800</v>
      </c>
      <c r="AP47">
        <v>10930</v>
      </c>
      <c r="AQ47">
        <v>10090</v>
      </c>
    </row>
    <row r="48">
      <c r="C48" t="str">
        <v>新田（25年10月及之前）</v>
      </c>
      <c r="D48" t="str">
        <v>$</v>
      </c>
      <c r="T48">
        <v>10180</v>
      </c>
      <c r="U48">
        <v>10310</v>
      </c>
      <c r="V48">
        <v>10440</v>
      </c>
      <c r="W48">
        <v>10570</v>
      </c>
      <c r="X48">
        <v>10700</v>
      </c>
      <c r="Y48">
        <v>10830</v>
      </c>
      <c r="Z48">
        <v>10960</v>
      </c>
      <c r="AA48">
        <v>10120</v>
      </c>
      <c r="AB48">
        <v>125</v>
      </c>
      <c r="AD48">
        <v>151</v>
      </c>
    </row>
    <row r="49">
      <c r="A49" t="str">
        <v>PICC线下</v>
      </c>
      <c r="B49" t="str">
        <v>suppose all offline</v>
      </c>
      <c r="C49" t="str">
        <v xml:space="preserve">    -- Offline</v>
      </c>
      <c r="D49" t="str">
        <v>$</v>
      </c>
      <c r="F49">
        <f>H49</f>
        <v>0</v>
      </c>
      <c r="H49">
        <f>SUM(Y49:Z49)</f>
        <v>0</v>
      </c>
      <c r="J49">
        <v>10020</v>
      </c>
      <c r="O49">
        <v>167</v>
      </c>
      <c r="P49">
        <v>180</v>
      </c>
      <c r="Q49">
        <v>10930</v>
      </c>
      <c r="R49">
        <v>10090</v>
      </c>
      <c r="S49">
        <v>10220</v>
      </c>
      <c r="T49">
        <v>10350</v>
      </c>
      <c r="U49">
        <v>10480</v>
      </c>
      <c r="V49">
        <v>10610</v>
      </c>
      <c r="W49">
        <v>10740</v>
      </c>
      <c r="X49" t="str">
        <v>N/A</v>
      </c>
      <c r="AB49">
        <v>10420</v>
      </c>
      <c r="AC49">
        <v>10550</v>
      </c>
      <c r="AD49">
        <v>10680</v>
      </c>
    </row>
    <row r="50">
      <c r="C50" t="str">
        <v>等效先认产品</v>
      </c>
      <c r="AK50">
        <f>AK51+AK58</f>
        <v>0</v>
      </c>
      <c r="AL50">
        <v>10920</v>
      </c>
      <c r="AM50">
        <v>10080</v>
      </c>
      <c r="AN50">
        <v>10210</v>
      </c>
      <c r="AO50">
        <v>10340</v>
      </c>
      <c r="AP50">
        <v>10470</v>
      </c>
      <c r="AQ50">
        <v>10600</v>
      </c>
      <c r="AR50">
        <f>AR51+AR58</f>
        <v>0</v>
      </c>
      <c r="AS50">
        <f>AS51+AS58</f>
        <v>0</v>
      </c>
      <c r="AT50">
        <f>AT51+AT58</f>
        <v>0</v>
      </c>
      <c r="AU50">
        <f>AU51+AU58</f>
        <v>0</v>
      </c>
      <c r="AV50">
        <f>AV51+AV58</f>
        <v>0</v>
      </c>
    </row>
    <row r="51">
      <c r="C51" t="str">
        <v xml:space="preserve"> - Online channel</v>
      </c>
      <c r="D51" t="str">
        <v>$</v>
      </c>
      <c r="AK51">
        <f>SUM(AK52:AK57)</f>
        <v>0</v>
      </c>
      <c r="AL51">
        <v>10120</v>
      </c>
      <c r="AM51">
        <v>10250</v>
      </c>
      <c r="AN51">
        <v>10380</v>
      </c>
      <c r="AO51">
        <v>10510</v>
      </c>
      <c r="AP51">
        <v>10640</v>
      </c>
      <c r="AQ51">
        <v>10770</v>
      </c>
      <c r="AR51">
        <f>SUM(AR52:AR57)</f>
        <v>0</v>
      </c>
      <c r="AS51">
        <f>SUM(AS52:AS57)</f>
        <v>0</v>
      </c>
      <c r="AT51">
        <f>SUM(AT52:AT57)</f>
        <v>0</v>
      </c>
      <c r="AU51">
        <f>SUM(AU52:AU57)</f>
        <v>0</v>
      </c>
      <c r="AV51">
        <f>SUM(AV52:AV57)</f>
        <v>0</v>
      </c>
    </row>
    <row r="52">
      <c r="C52" t="str">
        <v>官网</v>
      </c>
      <c r="D52" t="str">
        <v>$</v>
      </c>
      <c r="AL52">
        <v>10290</v>
      </c>
      <c r="AM52">
        <v>10420</v>
      </c>
      <c r="AO52">
        <v>168</v>
      </c>
      <c r="AP52">
        <v>181</v>
      </c>
      <c r="AQ52">
        <v>194</v>
      </c>
    </row>
    <row r="53">
      <c r="C53" t="str">
        <v>谷歌SEM</v>
      </c>
      <c r="D53" t="str">
        <v>$</v>
      </c>
      <c r="AM53">
        <v>159</v>
      </c>
      <c r="AN53">
        <v>10720</v>
      </c>
      <c r="AO53">
        <v>185</v>
      </c>
      <c r="AP53">
        <v>101</v>
      </c>
      <c r="AQ53">
        <v>114</v>
      </c>
    </row>
    <row r="54">
      <c r="C54" t="str">
        <v>验车网站</v>
      </c>
      <c r="D54" t="str">
        <v>$</v>
      </c>
      <c r="AN54">
        <v>189</v>
      </c>
      <c r="AO54">
        <v>105</v>
      </c>
      <c r="AP54">
        <v>118</v>
      </c>
      <c r="AQ54">
        <v>10310</v>
      </c>
    </row>
    <row r="55">
      <c r="C55" t="str">
        <v>Facebook</v>
      </c>
      <c r="D55" t="str">
        <v>$</v>
      </c>
      <c r="AQ55">
        <v>148</v>
      </c>
    </row>
    <row r="56">
      <c r="C56" t="str">
        <v>新田（25年11月及之后，如有）</v>
      </c>
      <c r="D56" t="str">
        <v>$</v>
      </c>
      <c r="AL56">
        <v>100</v>
      </c>
    </row>
    <row r="57">
      <c r="C57" t="str">
        <v>电邮</v>
      </c>
    </row>
    <row r="58">
      <c r="C58" t="str">
        <v xml:space="preserve"> - CTG channel</v>
      </c>
      <c r="D58" t="str">
        <v>$</v>
      </c>
      <c r="AL58">
        <v>10340</v>
      </c>
      <c r="AM58">
        <v>10470</v>
      </c>
      <c r="AN58">
        <v>10600</v>
      </c>
      <c r="AO58">
        <v>10730</v>
      </c>
      <c r="AP58">
        <v>10860</v>
      </c>
      <c r="AQ58">
        <v>10020</v>
      </c>
      <c r="AR58">
        <f>SUM(AR59:AR60)</f>
        <v>0</v>
      </c>
      <c r="AS58">
        <f>SUM(AS59:AS60)</f>
        <v>0</v>
      </c>
      <c r="AT58">
        <f>SUM(AT59:AT60)</f>
        <v>0</v>
      </c>
      <c r="AU58">
        <f>SUM(AU59:AU60)</f>
        <v>0</v>
      </c>
      <c r="AV58">
        <f>SUM(AV59:AV60)</f>
        <v>0</v>
      </c>
    </row>
    <row r="59">
      <c r="C59" t="str">
        <v>天水围</v>
      </c>
      <c r="D59" t="str">
        <v>$</v>
      </c>
      <c r="AL59">
        <v>10510</v>
      </c>
      <c r="AM59">
        <v>10640</v>
      </c>
      <c r="AN59">
        <v>10770</v>
      </c>
      <c r="AO59">
        <v>10900</v>
      </c>
      <c r="AP59">
        <v>10060</v>
      </c>
      <c r="AQ59">
        <v>10190</v>
      </c>
    </row>
    <row r="60">
      <c r="C60" t="str">
        <v>新田（25年10月及之前）</v>
      </c>
      <c r="D60" t="str">
        <v>$</v>
      </c>
    </row>
    <row r="66">
      <c r="C66" t="str">
        <v>Taiping Renewal</v>
      </c>
      <c r="D66" t="str">
        <v>$</v>
      </c>
      <c r="H66">
        <v>10710</v>
      </c>
      <c r="V66">
        <v>10590</v>
      </c>
      <c r="W66">
        <v>10720</v>
      </c>
      <c r="X66">
        <v>10850</v>
      </c>
      <c r="Y66">
        <v>10010</v>
      </c>
      <c r="Z66">
        <v>10140</v>
      </c>
      <c r="AA66">
        <v>10270</v>
      </c>
      <c r="AB66">
        <v>10400</v>
      </c>
      <c r="AC66">
        <v>10530</v>
      </c>
      <c r="AD66">
        <v>10660</v>
      </c>
      <c r="AE66">
        <v>10790</v>
      </c>
      <c r="AF66">
        <v>10920</v>
      </c>
      <c r="AG66">
        <v>10080</v>
      </c>
      <c r="AH66">
        <v>10210</v>
      </c>
      <c r="AI66">
        <v>10340</v>
      </c>
      <c r="AK66">
        <v>10600</v>
      </c>
      <c r="AL66">
        <v>10730</v>
      </c>
      <c r="AM66">
        <v>10860</v>
      </c>
      <c r="AN66">
        <v>10020</v>
      </c>
      <c r="AO66">
        <v>10150</v>
      </c>
      <c r="AP66">
        <v>10280</v>
      </c>
      <c r="AQ66">
        <v>10410</v>
      </c>
    </row>
    <row r="67">
      <c r="C67" t="str">
        <v>PICC Renewal</v>
      </c>
      <c r="D67" t="str">
        <v>$</v>
      </c>
      <c r="H67">
        <f>SUM(Y67:Z67)</f>
        <v>0</v>
      </c>
      <c r="Y67">
        <v>0</v>
      </c>
      <c r="Z67">
        <v>0</v>
      </c>
      <c r="AA67">
        <v>0</v>
      </c>
      <c r="AB67">
        <v>10570</v>
      </c>
      <c r="AC67">
        <v>10700</v>
      </c>
      <c r="AD67">
        <v>10830</v>
      </c>
      <c r="AE67">
        <v>10960</v>
      </c>
      <c r="AF67">
        <v>10120</v>
      </c>
      <c r="AG67">
        <v>10250</v>
      </c>
      <c r="AH67">
        <v>10380</v>
      </c>
      <c r="AI67">
        <v>10510</v>
      </c>
      <c r="AK67">
        <v>10770</v>
      </c>
      <c r="AL67">
        <v>10900</v>
      </c>
      <c r="AM67">
        <v>10060</v>
      </c>
      <c r="AN67">
        <v>10190</v>
      </c>
      <c r="AO67">
        <v>10320</v>
      </c>
      <c r="AP67">
        <v>10450</v>
      </c>
      <c r="AQ67">
        <v>10580</v>
      </c>
      <c r="AR67">
        <f>AR68+AR69</f>
        <v>0</v>
      </c>
      <c r="AS67">
        <f>AS68+AS69</f>
        <v>0</v>
      </c>
      <c r="AT67">
        <f>AT68+AT69</f>
        <v>0</v>
      </c>
      <c r="AU67">
        <f>AU68+AU69</f>
        <v>0</v>
      </c>
      <c r="AV67">
        <f>AV68+AV69</f>
        <v>0</v>
      </c>
    </row>
    <row r="68">
      <c r="C68" t="str">
        <v>PICC Website Renewal</v>
      </c>
      <c r="AK68">
        <v>10940</v>
      </c>
      <c r="AL68">
        <v>10100</v>
      </c>
      <c r="AM68">
        <v>10230</v>
      </c>
      <c r="AN68">
        <v>10360</v>
      </c>
      <c r="AO68">
        <v>10490</v>
      </c>
      <c r="AP68">
        <v>10620</v>
      </c>
      <c r="AQ68">
        <v>10750</v>
      </c>
    </row>
    <row r="69">
      <c r="C69" t="str">
        <v>PICC Offline Renewal</v>
      </c>
      <c r="AK69">
        <v>10140</v>
      </c>
      <c r="AL69">
        <v>10270</v>
      </c>
      <c r="AM69">
        <v>10400</v>
      </c>
      <c r="AN69">
        <v>10530</v>
      </c>
      <c r="AO69">
        <v>10660</v>
      </c>
      <c r="AP69">
        <v>10790</v>
      </c>
    </row>
    <row r="71">
      <c r="C71" t="str">
        <v>Sales Breakup(#)</v>
      </c>
    </row>
    <row r="72">
      <c r="C72" t="str">
        <v>Total Inquiries</v>
      </c>
      <c r="D72" t="str">
        <v>#</v>
      </c>
      <c r="E72">
        <v>137</v>
      </c>
      <c r="F72">
        <v>150</v>
      </c>
      <c r="H72">
        <v>176</v>
      </c>
      <c r="J72">
        <v>105</v>
      </c>
      <c r="K72">
        <v>118</v>
      </c>
      <c r="M72">
        <v>144</v>
      </c>
      <c r="N72">
        <v>157</v>
      </c>
      <c r="O72">
        <v>170</v>
      </c>
      <c r="P72">
        <v>183</v>
      </c>
      <c r="Q72">
        <v>196</v>
      </c>
      <c r="R72">
        <v>112</v>
      </c>
      <c r="S72">
        <v>125</v>
      </c>
      <c r="T72">
        <v>138</v>
      </c>
      <c r="U72">
        <v>151</v>
      </c>
      <c r="V72">
        <v>164</v>
      </c>
      <c r="W72">
        <v>177</v>
      </c>
      <c r="X72">
        <v>190</v>
      </c>
      <c r="Y72">
        <v>106</v>
      </c>
      <c r="Z72">
        <v>119</v>
      </c>
      <c r="AA72">
        <v>132</v>
      </c>
      <c r="AB72">
        <v>145</v>
      </c>
      <c r="AC72">
        <v>158</v>
      </c>
      <c r="AD72">
        <v>171</v>
      </c>
      <c r="AE72">
        <v>184</v>
      </c>
      <c r="AF72">
        <v>100</v>
      </c>
      <c r="AG72">
        <v>113</v>
      </c>
      <c r="AH72">
        <v>126</v>
      </c>
      <c r="AI72">
        <v>139</v>
      </c>
      <c r="AJ72">
        <v>152</v>
      </c>
      <c r="AK72">
        <v>165</v>
      </c>
      <c r="AL72">
        <v>178</v>
      </c>
      <c r="AM72">
        <v>191</v>
      </c>
      <c r="AN72">
        <v>107</v>
      </c>
      <c r="AO72">
        <v>120</v>
      </c>
      <c r="AP72">
        <v>133</v>
      </c>
      <c r="AQ72">
        <v>146</v>
      </c>
    </row>
    <row r="73">
      <c r="C73" t="str">
        <v>NB Application</v>
      </c>
      <c r="D73" t="str">
        <v>#</v>
      </c>
      <c r="E73">
        <v>154</v>
      </c>
      <c r="F73">
        <v>167</v>
      </c>
      <c r="H73">
        <v>193</v>
      </c>
      <c r="J73">
        <v>122</v>
      </c>
      <c r="K73">
        <v>135</v>
      </c>
      <c r="M73">
        <v>161</v>
      </c>
      <c r="N73">
        <v>174</v>
      </c>
      <c r="O73">
        <v>187</v>
      </c>
      <c r="P73">
        <v>103</v>
      </c>
      <c r="Q73">
        <v>116</v>
      </c>
      <c r="R73">
        <v>129</v>
      </c>
      <c r="S73">
        <v>142</v>
      </c>
      <c r="T73">
        <v>155</v>
      </c>
      <c r="U73">
        <v>168</v>
      </c>
      <c r="V73">
        <v>181</v>
      </c>
      <c r="W73">
        <v>194</v>
      </c>
      <c r="X73">
        <v>110</v>
      </c>
      <c r="Y73">
        <v>123</v>
      </c>
      <c r="Z73">
        <v>136</v>
      </c>
      <c r="AA73">
        <v>149</v>
      </c>
      <c r="AB73">
        <v>162</v>
      </c>
      <c r="AC73">
        <v>175</v>
      </c>
      <c r="AD73">
        <v>188</v>
      </c>
      <c r="AE73">
        <v>104</v>
      </c>
      <c r="AF73">
        <v>117</v>
      </c>
      <c r="AG73">
        <v>130</v>
      </c>
      <c r="AH73">
        <v>143</v>
      </c>
      <c r="AI73">
        <v>156</v>
      </c>
      <c r="AJ73">
        <v>169</v>
      </c>
      <c r="AK73">
        <v>182</v>
      </c>
      <c r="AL73">
        <v>195</v>
      </c>
      <c r="AM73">
        <v>111</v>
      </c>
      <c r="AN73">
        <v>124</v>
      </c>
      <c r="AO73">
        <v>137</v>
      </c>
      <c r="AP73">
        <v>150</v>
      </c>
      <c r="AQ73">
        <v>163</v>
      </c>
      <c r="AR73">
        <f>AR74+AR75</f>
        <v>0</v>
      </c>
      <c r="AS73">
        <f>AS74+AS75</f>
        <v>0</v>
      </c>
      <c r="AT73">
        <f>AT74+AT75</f>
        <v>0</v>
      </c>
      <c r="AU73">
        <f>AU74+AU75</f>
        <v>0</v>
      </c>
      <c r="AV73">
        <f>AV74+AV75</f>
        <v>0</v>
      </c>
    </row>
    <row r="74">
      <c r="C74" t="str">
        <v>-TAIPING</v>
      </c>
      <c r="T74">
        <v>82</v>
      </c>
      <c r="U74">
        <v>185</v>
      </c>
      <c r="V74">
        <v>101</v>
      </c>
      <c r="W74">
        <v>114</v>
      </c>
      <c r="X74">
        <v>37</v>
      </c>
      <c r="Y74">
        <v>140</v>
      </c>
      <c r="Z74">
        <v>153</v>
      </c>
      <c r="AA74">
        <v>76</v>
      </c>
      <c r="AB74">
        <v>89</v>
      </c>
      <c r="AC74">
        <v>22</v>
      </c>
      <c r="AD74">
        <v>18</v>
      </c>
      <c r="AE74">
        <v>31</v>
      </c>
      <c r="AF74">
        <v>44</v>
      </c>
      <c r="AG74">
        <v>57</v>
      </c>
      <c r="AH74">
        <v>70</v>
      </c>
      <c r="AI74">
        <v>83</v>
      </c>
      <c r="AJ74">
        <v>16</v>
      </c>
      <c r="AK74">
        <v>12</v>
      </c>
      <c r="AL74">
        <v>25</v>
      </c>
      <c r="AM74">
        <v>128</v>
      </c>
      <c r="AN74">
        <v>141</v>
      </c>
      <c r="AO74">
        <v>154</v>
      </c>
      <c r="AP74">
        <v>167</v>
      </c>
      <c r="AQ74">
        <v>180</v>
      </c>
    </row>
    <row r="75">
      <c r="C75" t="str">
        <v>-PICC</v>
      </c>
      <c r="T75">
        <v>189</v>
      </c>
      <c r="U75">
        <v>105</v>
      </c>
      <c r="V75">
        <v>118</v>
      </c>
      <c r="W75">
        <v>131</v>
      </c>
      <c r="X75">
        <v>144</v>
      </c>
      <c r="Y75">
        <v>157</v>
      </c>
      <c r="Z75">
        <v>170</v>
      </c>
      <c r="AA75">
        <v>183</v>
      </c>
      <c r="AB75">
        <v>196</v>
      </c>
      <c r="AC75">
        <v>112</v>
      </c>
      <c r="AD75">
        <v>125</v>
      </c>
      <c r="AE75">
        <v>48</v>
      </c>
      <c r="AF75">
        <v>151</v>
      </c>
      <c r="AG75">
        <v>164</v>
      </c>
      <c r="AH75">
        <v>177</v>
      </c>
      <c r="AI75">
        <v>190</v>
      </c>
      <c r="AJ75">
        <v>106</v>
      </c>
      <c r="AK75">
        <v>119</v>
      </c>
      <c r="AL75">
        <v>132</v>
      </c>
      <c r="AM75">
        <v>145</v>
      </c>
      <c r="AN75">
        <v>158</v>
      </c>
      <c r="AO75">
        <v>171</v>
      </c>
      <c r="AP75">
        <v>184</v>
      </c>
      <c r="AQ75">
        <v>100</v>
      </c>
    </row>
    <row r="76">
      <c r="C76" t="str">
        <v>RN Application</v>
      </c>
      <c r="Y76">
        <v>84</v>
      </c>
      <c r="Z76">
        <v>17</v>
      </c>
      <c r="AA76">
        <v>13</v>
      </c>
      <c r="AB76">
        <v>26</v>
      </c>
      <c r="AC76">
        <v>129</v>
      </c>
      <c r="AD76">
        <v>142</v>
      </c>
      <c r="AE76">
        <v>155</v>
      </c>
      <c r="AF76">
        <v>168</v>
      </c>
      <c r="AG76">
        <v>181</v>
      </c>
      <c r="AH76">
        <v>194</v>
      </c>
      <c r="AI76">
        <v>110</v>
      </c>
      <c r="AJ76">
        <v>123</v>
      </c>
      <c r="AK76">
        <v>136</v>
      </c>
      <c r="AL76">
        <v>149</v>
      </c>
      <c r="AM76">
        <v>162</v>
      </c>
      <c r="AN76">
        <v>175</v>
      </c>
      <c r="AO76">
        <v>188</v>
      </c>
      <c r="AP76">
        <v>104</v>
      </c>
      <c r="AQ76">
        <v>117</v>
      </c>
      <c r="AR76">
        <f>AR77+AR78</f>
        <v>0</v>
      </c>
      <c r="AS76">
        <f>AS77+AS78</f>
        <v>0</v>
      </c>
      <c r="AT76">
        <f>AT77+AT78</f>
        <v>0</v>
      </c>
      <c r="AU76">
        <f>AU77+AU78</f>
        <v>0</v>
      </c>
      <c r="AV76">
        <f>AV77+AV78</f>
        <v>0</v>
      </c>
    </row>
    <row r="77">
      <c r="C77" t="str">
        <v>-TAIPING</v>
      </c>
      <c r="Y77">
        <v>21</v>
      </c>
      <c r="Z77">
        <v>17</v>
      </c>
      <c r="AA77">
        <v>30</v>
      </c>
      <c r="AB77">
        <v>43</v>
      </c>
      <c r="AC77">
        <v>56</v>
      </c>
      <c r="AD77">
        <v>69</v>
      </c>
      <c r="AE77">
        <v>82</v>
      </c>
      <c r="AF77">
        <v>15</v>
      </c>
      <c r="AG77">
        <v>11</v>
      </c>
      <c r="AH77">
        <v>24</v>
      </c>
      <c r="AI77">
        <v>37</v>
      </c>
      <c r="AJ77">
        <v>140</v>
      </c>
      <c r="AK77">
        <v>153</v>
      </c>
      <c r="AL77">
        <v>76</v>
      </c>
      <c r="AM77">
        <v>89</v>
      </c>
      <c r="AN77">
        <v>22</v>
      </c>
      <c r="AO77">
        <v>18</v>
      </c>
      <c r="AP77">
        <v>31</v>
      </c>
      <c r="AQ77">
        <v>44</v>
      </c>
    </row>
    <row r="78">
      <c r="C78" t="str">
        <v>-PICC</v>
      </c>
      <c r="Y78">
        <v>0</v>
      </c>
      <c r="Z78">
        <v>0</v>
      </c>
      <c r="AA78">
        <v>0</v>
      </c>
      <c r="AB78">
        <v>60</v>
      </c>
      <c r="AC78">
        <v>163</v>
      </c>
      <c r="AD78">
        <v>176</v>
      </c>
      <c r="AE78">
        <v>189</v>
      </c>
      <c r="AF78">
        <v>105</v>
      </c>
      <c r="AG78">
        <v>118</v>
      </c>
      <c r="AH78">
        <v>131</v>
      </c>
      <c r="AI78">
        <v>144</v>
      </c>
      <c r="AJ78">
        <v>157</v>
      </c>
      <c r="AK78">
        <v>170</v>
      </c>
      <c r="AL78">
        <v>13</v>
      </c>
      <c r="AM78">
        <v>26</v>
      </c>
      <c r="AN78">
        <v>112</v>
      </c>
      <c r="AO78">
        <v>125</v>
      </c>
      <c r="AP78">
        <v>138</v>
      </c>
      <c r="AQ78">
        <v>151</v>
      </c>
    </row>
    <row r="79">
      <c r="C79" t="str">
        <v>Conversion Rate (A/I)</v>
      </c>
      <c r="D79" t="str">
        <v>%</v>
      </c>
      <c r="E79">
        <v>69</v>
      </c>
      <c r="F79">
        <v>0.17</v>
      </c>
      <c r="H79">
        <v>0.06</v>
      </c>
      <c r="J79">
        <v>0.12</v>
      </c>
      <c r="K79">
        <v>0.05</v>
      </c>
      <c r="M79">
        <v>0.11</v>
      </c>
      <c r="N79">
        <v>0.24</v>
      </c>
      <c r="O79">
        <v>0.17</v>
      </c>
      <c r="P79">
        <v>0.13</v>
      </c>
      <c r="Q79">
        <v>0.06</v>
      </c>
      <c r="R79">
        <v>0.19</v>
      </c>
      <c r="S79">
        <v>0.12</v>
      </c>
      <c r="T79">
        <v>0.05</v>
      </c>
      <c r="U79">
        <v>0.18</v>
      </c>
      <c r="V79">
        <v>0.11</v>
      </c>
      <c r="W79">
        <v>0.07</v>
      </c>
      <c r="X79">
        <v>0.2</v>
      </c>
      <c r="Y79">
        <v>0.13</v>
      </c>
      <c r="Z79">
        <v>0.06</v>
      </c>
      <c r="AA79">
        <v>0.19</v>
      </c>
      <c r="AB79">
        <v>0.12</v>
      </c>
      <c r="AC79">
        <v>0.05</v>
      </c>
      <c r="AD79">
        <v>0.18</v>
      </c>
      <c r="AE79">
        <v>0.14</v>
      </c>
      <c r="AF79">
        <v>0.07</v>
      </c>
      <c r="AG79">
        <v>0.2</v>
      </c>
      <c r="AH79">
        <v>0.13</v>
      </c>
      <c r="AI79">
        <v>0.06</v>
      </c>
      <c r="AJ79">
        <v>0.19</v>
      </c>
      <c r="AK79">
        <v>0.12</v>
      </c>
      <c r="AL79">
        <v>0.08</v>
      </c>
      <c r="AM79">
        <v>0.21</v>
      </c>
      <c r="AN79">
        <v>0.14</v>
      </c>
      <c r="AO79">
        <v>0.07</v>
      </c>
      <c r="AP79">
        <v>0.2</v>
      </c>
      <c r="AQ79">
        <v>0.13</v>
      </c>
      <c r="AR79" t="e">
        <f>AR73/AR72</f>
        <v>#DIV/0!</v>
      </c>
      <c r="AS79" t="e">
        <f>AS73/AS72</f>
        <v>#DIV/0!</v>
      </c>
      <c r="AT79" t="e">
        <f>AT73/AT72</f>
        <v>#DIV/0!</v>
      </c>
      <c r="AU79" t="e">
        <f>AU73/AU72</f>
        <v>#DIV/0!</v>
      </c>
      <c r="AV79" t="e">
        <f>AV73/AV72</f>
        <v>#DIV/0!</v>
      </c>
    </row>
    <row r="80">
      <c r="C80" t="str">
        <v>Total Sales</v>
      </c>
      <c r="D80" t="str">
        <v>#</v>
      </c>
      <c r="E80">
        <v>176</v>
      </c>
      <c r="F80">
        <v>189</v>
      </c>
      <c r="H80">
        <v>118</v>
      </c>
      <c r="J80">
        <v>144</v>
      </c>
      <c r="K80">
        <v>157</v>
      </c>
      <c r="M80">
        <v>183</v>
      </c>
      <c r="N80">
        <v>196</v>
      </c>
      <c r="O80">
        <v>112</v>
      </c>
      <c r="P80">
        <v>35</v>
      </c>
      <c r="Q80">
        <v>138</v>
      </c>
      <c r="R80">
        <v>151</v>
      </c>
      <c r="S80">
        <v>164</v>
      </c>
      <c r="T80">
        <v>177</v>
      </c>
      <c r="U80">
        <v>190</v>
      </c>
      <c r="V80">
        <v>106</v>
      </c>
      <c r="W80">
        <v>119</v>
      </c>
      <c r="X80">
        <v>132</v>
      </c>
      <c r="Y80">
        <v>145</v>
      </c>
      <c r="Z80">
        <v>158</v>
      </c>
      <c r="AA80">
        <v>171</v>
      </c>
      <c r="AB80">
        <v>184</v>
      </c>
      <c r="AC80">
        <v>100</v>
      </c>
      <c r="AD80">
        <v>113</v>
      </c>
      <c r="AE80">
        <v>126</v>
      </c>
      <c r="AF80">
        <v>139</v>
      </c>
      <c r="AG80">
        <v>152</v>
      </c>
      <c r="AH80">
        <v>165</v>
      </c>
      <c r="AI80">
        <v>178</v>
      </c>
      <c r="AJ80">
        <v>191</v>
      </c>
      <c r="AK80">
        <v>107</v>
      </c>
      <c r="AL80">
        <v>120</v>
      </c>
      <c r="AM80">
        <v>133</v>
      </c>
      <c r="AN80">
        <v>146</v>
      </c>
      <c r="AO80">
        <v>159</v>
      </c>
      <c r="AP80">
        <v>172</v>
      </c>
      <c r="AQ80">
        <v>185</v>
      </c>
      <c r="AR80">
        <f>AR81+AR83</f>
        <v>0</v>
      </c>
      <c r="AS80">
        <f>AS81+AS83</f>
        <v>0</v>
      </c>
      <c r="AT80">
        <f>AT81+AT83</f>
        <v>0</v>
      </c>
      <c r="AU80">
        <f>AU81+AU83</f>
        <v>0</v>
      </c>
      <c r="AV80">
        <f>AV81+AV83</f>
        <v>0</v>
      </c>
    </row>
    <row r="81">
      <c r="C81" t="str">
        <v>NB Sales</v>
      </c>
      <c r="D81" t="str">
        <v>#</v>
      </c>
      <c r="E81">
        <v>193</v>
      </c>
      <c r="F81">
        <v>109</v>
      </c>
      <c r="H81">
        <v>135</v>
      </c>
      <c r="J81">
        <v>161</v>
      </c>
      <c r="K81">
        <v>174</v>
      </c>
      <c r="M81">
        <v>103</v>
      </c>
      <c r="N81">
        <v>116</v>
      </c>
      <c r="O81">
        <v>129</v>
      </c>
      <c r="P81">
        <v>52</v>
      </c>
      <c r="Q81">
        <v>155</v>
      </c>
      <c r="R81">
        <v>168</v>
      </c>
      <c r="S81">
        <v>181</v>
      </c>
      <c r="T81">
        <v>194</v>
      </c>
      <c r="U81">
        <v>110</v>
      </c>
      <c r="V81">
        <v>123</v>
      </c>
      <c r="W81">
        <v>136</v>
      </c>
      <c r="X81">
        <v>149</v>
      </c>
      <c r="Y81">
        <v>162</v>
      </c>
      <c r="Z81">
        <v>175</v>
      </c>
      <c r="AA81">
        <v>188</v>
      </c>
      <c r="AB81">
        <v>104</v>
      </c>
      <c r="AC81">
        <v>117</v>
      </c>
      <c r="AD81">
        <v>130</v>
      </c>
      <c r="AE81">
        <v>143</v>
      </c>
      <c r="AF81">
        <v>156</v>
      </c>
      <c r="AG81">
        <v>169</v>
      </c>
      <c r="AH81">
        <v>182</v>
      </c>
      <c r="AI81">
        <v>195</v>
      </c>
      <c r="AJ81">
        <v>111</v>
      </c>
      <c r="AK81">
        <v>124</v>
      </c>
      <c r="AL81">
        <v>137</v>
      </c>
      <c r="AM81">
        <v>150</v>
      </c>
      <c r="AN81">
        <v>163</v>
      </c>
      <c r="AO81">
        <v>176</v>
      </c>
      <c r="AP81">
        <v>189</v>
      </c>
      <c r="AQ81">
        <v>105</v>
      </c>
      <c r="AR81">
        <f>AR101+AR125</f>
        <v>0</v>
      </c>
      <c r="AS81">
        <f>AS101+AS125</f>
        <v>0</v>
      </c>
      <c r="AT81">
        <f>AT101+AT125</f>
        <v>0</v>
      </c>
      <c r="AU81">
        <f>AU101+AU125</f>
        <v>0</v>
      </c>
      <c r="AV81">
        <f>AV101+AV125</f>
        <v>0</v>
      </c>
    </row>
    <row r="82">
      <c r="C82" t="str">
        <v xml:space="preserve"> - New Sales %</v>
      </c>
      <c r="D82" t="str">
        <v>%</v>
      </c>
      <c r="T82">
        <v>24</v>
      </c>
      <c r="U82">
        <v>37</v>
      </c>
      <c r="V82">
        <v>0.05</v>
      </c>
      <c r="W82">
        <v>0.18</v>
      </c>
      <c r="X82">
        <v>0.11</v>
      </c>
      <c r="Y82">
        <v>0.24</v>
      </c>
      <c r="Z82">
        <v>0.17</v>
      </c>
      <c r="AA82">
        <v>0.13</v>
      </c>
      <c r="AB82">
        <v>0.06</v>
      </c>
      <c r="AC82">
        <v>0.19</v>
      </c>
      <c r="AD82">
        <v>0.12</v>
      </c>
      <c r="AE82">
        <v>0.05</v>
      </c>
      <c r="AF82">
        <v>0.18</v>
      </c>
      <c r="AG82">
        <v>0.11</v>
      </c>
      <c r="AH82">
        <v>0.07</v>
      </c>
      <c r="AI82">
        <v>0.2</v>
      </c>
      <c r="AJ82">
        <v>0.13</v>
      </c>
      <c r="AK82">
        <v>0.06</v>
      </c>
      <c r="AL82">
        <v>0.19</v>
      </c>
      <c r="AM82">
        <v>0.12</v>
      </c>
      <c r="AN82">
        <v>0.05</v>
      </c>
      <c r="AO82">
        <v>0.18</v>
      </c>
      <c r="AP82">
        <v>0.14</v>
      </c>
      <c r="AQ82">
        <v>0.07</v>
      </c>
      <c r="AR82" t="e">
        <f>AR81/AR80</f>
        <v>#DIV/0!</v>
      </c>
      <c r="AS82" t="e">
        <f>AS81/AS80</f>
        <v>#DIV/0!</v>
      </c>
      <c r="AT82" t="e">
        <f>AT81/AT80</f>
        <v>#DIV/0!</v>
      </c>
      <c r="AU82" t="e">
        <f>AU81/AU80</f>
        <v>#DIV/0!</v>
      </c>
      <c r="AV82" t="e">
        <f>AV81/AV80</f>
        <v>#DIV/0!</v>
      </c>
    </row>
    <row r="83">
      <c r="C83" t="str">
        <v>RN Sales</v>
      </c>
      <c r="D83" t="str">
        <v>#</v>
      </c>
      <c r="F83">
        <v>143</v>
      </c>
      <c r="H83">
        <v>169</v>
      </c>
      <c r="J83">
        <v>25</v>
      </c>
      <c r="K83">
        <v>21</v>
      </c>
      <c r="V83">
        <v>67</v>
      </c>
      <c r="W83">
        <v>80</v>
      </c>
      <c r="X83">
        <v>13</v>
      </c>
      <c r="Y83">
        <v>26</v>
      </c>
      <c r="Z83">
        <v>22</v>
      </c>
      <c r="AA83">
        <v>35</v>
      </c>
      <c r="AB83">
        <v>48</v>
      </c>
      <c r="AC83">
        <v>151</v>
      </c>
      <c r="AD83">
        <v>164</v>
      </c>
      <c r="AE83">
        <v>177</v>
      </c>
      <c r="AF83">
        <v>190</v>
      </c>
      <c r="AG83">
        <v>106</v>
      </c>
      <c r="AH83">
        <v>119</v>
      </c>
      <c r="AI83">
        <v>132</v>
      </c>
      <c r="AJ83">
        <v>145</v>
      </c>
      <c r="AK83">
        <v>158</v>
      </c>
      <c r="AL83">
        <v>171</v>
      </c>
      <c r="AM83">
        <v>184</v>
      </c>
      <c r="AN83">
        <v>100</v>
      </c>
      <c r="AO83">
        <v>113</v>
      </c>
      <c r="AP83">
        <v>126</v>
      </c>
      <c r="AQ83">
        <v>139</v>
      </c>
      <c r="AR83">
        <f>AR154+AR156</f>
        <v>0</v>
      </c>
      <c r="AS83">
        <f>AS154+AS156</f>
        <v>0</v>
      </c>
      <c r="AT83">
        <f>AT154+AT156</f>
        <v>0</v>
      </c>
      <c r="AU83">
        <f>AU154+AU156</f>
        <v>0</v>
      </c>
      <c r="AV83">
        <f>AV154+AV156</f>
        <v>0</v>
      </c>
    </row>
    <row r="84">
      <c r="C84" t="str">
        <v xml:space="preserve"> - Renewal %</v>
      </c>
      <c r="D84" t="str">
        <v>%</v>
      </c>
      <c r="T84">
        <f>T83/T80</f>
        <v>0</v>
      </c>
      <c r="U84">
        <f>U83/U80</f>
        <v>0</v>
      </c>
      <c r="V84">
        <v>0.19</v>
      </c>
      <c r="W84">
        <v>0.12</v>
      </c>
      <c r="X84">
        <v>0.08</v>
      </c>
      <c r="Y84">
        <v>0.21</v>
      </c>
      <c r="Z84">
        <v>0.14</v>
      </c>
      <c r="AA84">
        <v>0.07</v>
      </c>
      <c r="AB84">
        <v>0.2</v>
      </c>
      <c r="AC84">
        <v>0.13</v>
      </c>
      <c r="AD84">
        <v>0.06</v>
      </c>
      <c r="AE84">
        <v>0.19</v>
      </c>
      <c r="AF84">
        <v>0.15</v>
      </c>
      <c r="AG84">
        <v>0.08</v>
      </c>
      <c r="AH84">
        <v>0.21</v>
      </c>
      <c r="AI84">
        <v>0.14</v>
      </c>
      <c r="AJ84">
        <v>0.07</v>
      </c>
      <c r="AK84">
        <v>0.2</v>
      </c>
      <c r="AL84">
        <v>0.13</v>
      </c>
      <c r="AM84">
        <v>0.09</v>
      </c>
      <c r="AN84">
        <v>0.22</v>
      </c>
      <c r="AO84">
        <v>0.15</v>
      </c>
      <c r="AP84">
        <v>0.08</v>
      </c>
      <c r="AQ84">
        <v>0.21</v>
      </c>
      <c r="AR84" t="e">
        <f>AR83/AR80</f>
        <v>#DIV/0!</v>
      </c>
      <c r="AS84" t="e">
        <f>AS83/AS80</f>
        <v>#DIV/0!</v>
      </c>
      <c r="AT84" t="e">
        <f>AT83/AT80</f>
        <v>#DIV/0!</v>
      </c>
      <c r="AU84" t="e">
        <f>AU83/AU80</f>
        <v>#DIV/0!</v>
      </c>
      <c r="AV84" t="e">
        <f>AV83/AV80</f>
        <v>#DIV/0!</v>
      </c>
    </row>
    <row r="85">
      <c r="C85" t="str">
        <v>Conversion Rate (S/A)</v>
      </c>
      <c r="D85" t="str">
        <v>%</v>
      </c>
      <c r="E85">
        <v>0.09</v>
      </c>
      <c r="F85">
        <v>87</v>
      </c>
      <c r="H85">
        <v>16</v>
      </c>
      <c r="J85">
        <v>0.17</v>
      </c>
      <c r="K85">
        <v>0.1</v>
      </c>
      <c r="M85">
        <v>0.16</v>
      </c>
      <c r="N85">
        <v>0.09</v>
      </c>
      <c r="O85">
        <v>0.05</v>
      </c>
      <c r="P85">
        <v>0.18</v>
      </c>
      <c r="Q85">
        <v>0.11</v>
      </c>
      <c r="R85">
        <v>49</v>
      </c>
      <c r="S85">
        <v>0.17</v>
      </c>
      <c r="T85">
        <v>0.1</v>
      </c>
      <c r="U85">
        <v>0.23</v>
      </c>
      <c r="V85">
        <v>0.16</v>
      </c>
      <c r="W85">
        <v>0.12</v>
      </c>
      <c r="X85">
        <v>0.05</v>
      </c>
      <c r="Y85">
        <v>0.18</v>
      </c>
      <c r="Z85">
        <v>0.11</v>
      </c>
      <c r="AA85">
        <v>0.24</v>
      </c>
      <c r="AB85">
        <v>0.17</v>
      </c>
      <c r="AC85">
        <v>0.1</v>
      </c>
      <c r="AD85">
        <v>0.06</v>
      </c>
      <c r="AE85">
        <v>0.19</v>
      </c>
      <c r="AF85">
        <v>0.12</v>
      </c>
      <c r="AG85">
        <v>0.05</v>
      </c>
      <c r="AH85">
        <v>0.18</v>
      </c>
      <c r="AI85">
        <v>0.11</v>
      </c>
      <c r="AJ85">
        <v>0.24</v>
      </c>
      <c r="AK85">
        <v>0.17</v>
      </c>
      <c r="AL85">
        <v>0.13</v>
      </c>
      <c r="AM85">
        <v>0.06</v>
      </c>
      <c r="AN85">
        <v>0.19</v>
      </c>
      <c r="AO85">
        <v>0.12</v>
      </c>
      <c r="AP85">
        <v>0.05</v>
      </c>
      <c r="AQ85">
        <v>0.18</v>
      </c>
      <c r="AR85" t="e">
        <f>AR81/AR73</f>
        <v>#DIV/0!</v>
      </c>
      <c r="AS85" t="e">
        <f>AS81/AS73</f>
        <v>#DIV/0!</v>
      </c>
      <c r="AT85" t="e">
        <f>AT81/AT73</f>
        <v>#DIV/0!</v>
      </c>
      <c r="AU85" t="e">
        <f>AU81/AU73</f>
        <v>#DIV/0!</v>
      </c>
      <c r="AV85" t="e">
        <f>AV81/AV73</f>
        <v>#DIV/0!</v>
      </c>
    </row>
    <row r="86">
      <c r="C86" t="str">
        <v>Sales/Motor Checked</v>
      </c>
      <c r="D86" t="str">
        <v>%</v>
      </c>
      <c r="E86">
        <v>0.06</v>
      </c>
      <c r="F86">
        <v>0.19</v>
      </c>
      <c r="H86">
        <v>0.08</v>
      </c>
      <c r="J86">
        <v>0.14</v>
      </c>
      <c r="K86">
        <v>0.07</v>
      </c>
      <c r="M86">
        <v>0.13</v>
      </c>
      <c r="N86">
        <v>0.09</v>
      </c>
      <c r="O86">
        <v>0.22</v>
      </c>
      <c r="P86">
        <v>0.15</v>
      </c>
      <c r="Q86">
        <v>0.08</v>
      </c>
      <c r="R86">
        <v>0.21</v>
      </c>
      <c r="S86">
        <v>0.14</v>
      </c>
      <c r="T86">
        <v>0.07</v>
      </c>
      <c r="U86">
        <v>0.2</v>
      </c>
      <c r="V86">
        <v>0.16</v>
      </c>
      <c r="W86">
        <v>0.09</v>
      </c>
      <c r="X86">
        <v>0.22</v>
      </c>
      <c r="Y86">
        <v>0.15</v>
      </c>
      <c r="Z86">
        <v>0.08</v>
      </c>
      <c r="AA86">
        <v>0.21</v>
      </c>
      <c r="AB86">
        <v>0.14</v>
      </c>
      <c r="AC86">
        <v>0.1</v>
      </c>
      <c r="AD86">
        <v>0.23</v>
      </c>
      <c r="AE86">
        <v>0.16</v>
      </c>
      <c r="AF86">
        <v>0.09</v>
      </c>
      <c r="AG86">
        <v>0.22</v>
      </c>
      <c r="AH86">
        <v>0.15</v>
      </c>
      <c r="AI86">
        <v>0.08</v>
      </c>
      <c r="AJ86">
        <v>0.21</v>
      </c>
      <c r="AK86">
        <v>0.17</v>
      </c>
      <c r="AL86">
        <v>0.1</v>
      </c>
      <c r="AM86">
        <v>0.23</v>
      </c>
      <c r="AN86">
        <v>0.16</v>
      </c>
      <c r="AO86">
        <v>0.09</v>
      </c>
      <c r="AP86">
        <v>0.22</v>
      </c>
      <c r="AQ86">
        <v>0.15</v>
      </c>
      <c r="AR86">
        <f>AR81/AR7</f>
        <v>0</v>
      </c>
      <c r="AS86">
        <f>AS81/AS7</f>
        <v>0</v>
      </c>
      <c r="AT86" t="e">
        <f>AT81/AT7</f>
        <v>#DIV/0!</v>
      </c>
      <c r="AU86" t="e">
        <f>AU81/AU7</f>
        <v>#DIV/0!</v>
      </c>
      <c r="AV86" t="e">
        <f>AV81/AV7</f>
        <v>#DIV/0!</v>
      </c>
    </row>
    <row r="88">
      <c r="C88" t="str">
        <v>All Channel</v>
      </c>
      <c r="D88" t="str">
        <v>#</v>
      </c>
      <c r="M88">
        <v>125</v>
      </c>
      <c r="N88">
        <v>138</v>
      </c>
      <c r="O88">
        <v>151</v>
      </c>
      <c r="P88">
        <v>74</v>
      </c>
      <c r="Q88">
        <v>177</v>
      </c>
      <c r="R88">
        <v>190</v>
      </c>
      <c r="S88">
        <v>106</v>
      </c>
      <c r="T88">
        <v>119</v>
      </c>
      <c r="U88">
        <v>132</v>
      </c>
      <c r="V88">
        <v>145</v>
      </c>
      <c r="W88">
        <v>158</v>
      </c>
      <c r="X88">
        <v>171</v>
      </c>
      <c r="Y88">
        <v>184</v>
      </c>
      <c r="Z88">
        <v>100</v>
      </c>
      <c r="AA88">
        <v>113</v>
      </c>
      <c r="AB88">
        <v>126</v>
      </c>
      <c r="AC88">
        <v>139</v>
      </c>
      <c r="AD88">
        <v>152</v>
      </c>
      <c r="AE88">
        <v>165</v>
      </c>
      <c r="AF88">
        <v>178</v>
      </c>
      <c r="AG88">
        <v>191</v>
      </c>
      <c r="AH88">
        <v>107</v>
      </c>
      <c r="AI88">
        <v>120</v>
      </c>
      <c r="AJ88">
        <v>133</v>
      </c>
      <c r="AK88">
        <v>146</v>
      </c>
      <c r="AL88">
        <v>159</v>
      </c>
      <c r="AM88">
        <v>172</v>
      </c>
      <c r="AN88">
        <v>185</v>
      </c>
      <c r="AO88">
        <v>101</v>
      </c>
      <c r="AP88">
        <v>114</v>
      </c>
      <c r="AQ88">
        <v>127</v>
      </c>
      <c r="AR88">
        <f>AR89+AR91</f>
        <v>0</v>
      </c>
      <c r="AS88">
        <f>AS89+AS91</f>
        <v>0</v>
      </c>
      <c r="AT88">
        <f>AT89+AT91</f>
        <v>0</v>
      </c>
      <c r="AU88">
        <f>AU89+AU91</f>
        <v>0</v>
      </c>
      <c r="AV88">
        <f>AV89+AV91</f>
        <v>0</v>
      </c>
    </row>
    <row r="89">
      <c r="C89" t="str">
        <v>Online Channel</v>
      </c>
      <c r="D89" t="str">
        <v>#</v>
      </c>
      <c r="M89">
        <v>142</v>
      </c>
      <c r="N89">
        <v>155</v>
      </c>
      <c r="O89">
        <v>168</v>
      </c>
      <c r="P89">
        <v>11</v>
      </c>
      <c r="Q89">
        <v>194</v>
      </c>
      <c r="R89">
        <v>110</v>
      </c>
      <c r="S89">
        <v>123</v>
      </c>
      <c r="T89">
        <v>136</v>
      </c>
      <c r="U89">
        <v>149</v>
      </c>
      <c r="V89">
        <v>162</v>
      </c>
      <c r="W89">
        <v>175</v>
      </c>
      <c r="X89">
        <v>188</v>
      </c>
      <c r="Y89">
        <v>104</v>
      </c>
      <c r="Z89">
        <v>117</v>
      </c>
      <c r="AA89">
        <v>130</v>
      </c>
      <c r="AB89">
        <v>143</v>
      </c>
      <c r="AC89">
        <v>156</v>
      </c>
      <c r="AD89">
        <v>169</v>
      </c>
      <c r="AE89">
        <v>12</v>
      </c>
      <c r="AF89">
        <v>195</v>
      </c>
      <c r="AG89">
        <v>21</v>
      </c>
      <c r="AH89">
        <v>124</v>
      </c>
      <c r="AI89">
        <v>47</v>
      </c>
      <c r="AJ89">
        <v>60</v>
      </c>
      <c r="AK89">
        <v>73</v>
      </c>
      <c r="AL89">
        <v>86</v>
      </c>
      <c r="AM89">
        <v>189</v>
      </c>
      <c r="AN89">
        <v>105</v>
      </c>
      <c r="AO89">
        <v>118</v>
      </c>
      <c r="AP89">
        <v>131</v>
      </c>
      <c r="AQ89">
        <v>144</v>
      </c>
      <c r="AR89">
        <f>AR103+AR114+AR127+AR139</f>
        <v>0</v>
      </c>
      <c r="AS89">
        <f>AS103+AS114+AS127+AS139</f>
        <v>0</v>
      </c>
      <c r="AT89">
        <f>AT103+AT114+AT127+AT139</f>
        <v>0</v>
      </c>
      <c r="AU89">
        <f>AU103+AU114+AU127+AU139</f>
        <v>0</v>
      </c>
      <c r="AV89">
        <f>AV103+AV114+AV127+AV139</f>
        <v>0</v>
      </c>
    </row>
    <row r="90">
      <c r="C90" t="str">
        <v>Online Channel %</v>
      </c>
      <c r="D90" t="str">
        <v>%</v>
      </c>
      <c r="P90">
        <v>0.06</v>
      </c>
      <c r="Q90">
        <v>0.19</v>
      </c>
      <c r="R90">
        <v>0.12</v>
      </c>
      <c r="S90">
        <v>0.05</v>
      </c>
      <c r="T90">
        <v>0.18</v>
      </c>
      <c r="U90">
        <v>0.11</v>
      </c>
      <c r="V90">
        <v>0.24</v>
      </c>
      <c r="W90">
        <v>0.17</v>
      </c>
      <c r="X90">
        <v>0.13</v>
      </c>
      <c r="Y90">
        <v>0.06</v>
      </c>
      <c r="Z90">
        <v>0.19</v>
      </c>
      <c r="AA90">
        <v>0.12</v>
      </c>
      <c r="AB90">
        <v>0.05</v>
      </c>
      <c r="AC90">
        <v>0.18</v>
      </c>
      <c r="AD90">
        <v>0.11</v>
      </c>
      <c r="AE90">
        <v>0.07</v>
      </c>
      <c r="AF90">
        <v>0.2</v>
      </c>
      <c r="AG90">
        <v>0.13</v>
      </c>
      <c r="AH90">
        <v>0.06</v>
      </c>
      <c r="AI90">
        <v>0.19</v>
      </c>
      <c r="AJ90">
        <v>0.12</v>
      </c>
      <c r="AK90">
        <v>0.05</v>
      </c>
      <c r="AL90">
        <v>0.18</v>
      </c>
      <c r="AM90">
        <v>0.14</v>
      </c>
      <c r="AN90">
        <v>0.07</v>
      </c>
      <c r="AO90">
        <v>0.2</v>
      </c>
      <c r="AP90">
        <v>0.13</v>
      </c>
      <c r="AQ90">
        <v>0.06</v>
      </c>
      <c r="AR90" t="e">
        <f>AR89/AR88</f>
        <v>#DIV/0!</v>
      </c>
      <c r="AS90" t="e">
        <f>AS89/AS88</f>
        <v>#DIV/0!</v>
      </c>
      <c r="AT90" t="e">
        <f>AT89/AT88</f>
        <v>#DIV/0!</v>
      </c>
      <c r="AU90" t="e">
        <f>AU89/AU88</f>
        <v>#DIV/0!</v>
      </c>
      <c r="AV90" t="e">
        <f>AV89/AV88</f>
        <v>#DIV/0!</v>
      </c>
    </row>
    <row r="91">
      <c r="C91" t="str">
        <v>Offline Channel</v>
      </c>
      <c r="D91" t="str">
        <v>#</v>
      </c>
      <c r="O91">
        <v>15</v>
      </c>
      <c r="P91">
        <v>28</v>
      </c>
      <c r="Q91">
        <v>131</v>
      </c>
      <c r="R91">
        <v>144</v>
      </c>
      <c r="S91">
        <v>157</v>
      </c>
      <c r="T91">
        <v>170</v>
      </c>
      <c r="U91">
        <v>183</v>
      </c>
      <c r="V91">
        <v>196</v>
      </c>
      <c r="W91">
        <v>112</v>
      </c>
      <c r="X91">
        <v>125</v>
      </c>
      <c r="Y91">
        <v>138</v>
      </c>
      <c r="Z91">
        <v>151</v>
      </c>
      <c r="AA91">
        <v>164</v>
      </c>
      <c r="AB91">
        <v>177</v>
      </c>
      <c r="AC91">
        <v>190</v>
      </c>
      <c r="AD91">
        <v>106</v>
      </c>
      <c r="AE91">
        <v>29</v>
      </c>
      <c r="AF91">
        <v>132</v>
      </c>
      <c r="AG91">
        <v>55</v>
      </c>
      <c r="AH91">
        <v>158</v>
      </c>
      <c r="AI91">
        <v>171</v>
      </c>
      <c r="AJ91">
        <v>184</v>
      </c>
      <c r="AK91">
        <v>100</v>
      </c>
      <c r="AL91">
        <v>113</v>
      </c>
      <c r="AM91">
        <v>126</v>
      </c>
      <c r="AN91">
        <v>139</v>
      </c>
      <c r="AO91">
        <v>152</v>
      </c>
      <c r="AP91">
        <v>165</v>
      </c>
      <c r="AQ91">
        <v>178</v>
      </c>
      <c r="AR91">
        <f>AR110+AR121+AR134+AR146</f>
        <v>0</v>
      </c>
      <c r="AS91">
        <f>AS110+AS121+AS134+AS146</f>
        <v>0</v>
      </c>
      <c r="AT91">
        <f>AT110+AT121+AT134+AT146</f>
        <v>0</v>
      </c>
      <c r="AU91">
        <f>AU110+AU121+AU134+AU146</f>
        <v>0</v>
      </c>
      <c r="AV91">
        <f>AV110+AV121+AV134+AV146</f>
        <v>0</v>
      </c>
    </row>
    <row r="92">
      <c r="C92" t="str">
        <v>Offline Channel %</v>
      </c>
      <c r="D92" t="str">
        <v>%</v>
      </c>
      <c r="P92">
        <v>0.2</v>
      </c>
      <c r="Q92">
        <v>0.13</v>
      </c>
      <c r="R92">
        <v>0.06</v>
      </c>
      <c r="S92">
        <v>0.19</v>
      </c>
      <c r="T92">
        <v>0.12</v>
      </c>
      <c r="U92">
        <v>0.08</v>
      </c>
      <c r="V92">
        <v>0.21</v>
      </c>
      <c r="W92">
        <v>0.14</v>
      </c>
      <c r="X92">
        <v>0.07</v>
      </c>
      <c r="Y92">
        <v>0.2</v>
      </c>
      <c r="Z92">
        <v>0.13</v>
      </c>
      <c r="AA92">
        <v>0.06</v>
      </c>
      <c r="AB92">
        <v>0.19</v>
      </c>
      <c r="AC92">
        <v>0.15</v>
      </c>
      <c r="AD92">
        <v>0.08</v>
      </c>
      <c r="AE92">
        <v>0.21</v>
      </c>
      <c r="AF92">
        <v>0.14</v>
      </c>
      <c r="AG92">
        <v>0.07</v>
      </c>
      <c r="AH92">
        <v>0.2</v>
      </c>
      <c r="AI92">
        <v>0.13</v>
      </c>
      <c r="AJ92">
        <v>0.09</v>
      </c>
      <c r="AK92">
        <v>0.22</v>
      </c>
      <c r="AL92">
        <v>0.15</v>
      </c>
      <c r="AM92">
        <v>0.08</v>
      </c>
      <c r="AN92">
        <v>0.21</v>
      </c>
      <c r="AO92">
        <v>0.14</v>
      </c>
      <c r="AP92">
        <v>0.07</v>
      </c>
      <c r="AQ92">
        <v>0.2</v>
      </c>
      <c r="AR92" t="e">
        <f>AR91/AR88</f>
        <v>#DIV/0!</v>
      </c>
      <c r="AS92" t="e">
        <f>AS91/AS88</f>
        <v>#DIV/0!</v>
      </c>
      <c r="AT92" t="e">
        <f>AT91/AT88</f>
        <v>#DIV/0!</v>
      </c>
      <c r="AU92" t="e">
        <f>AU91/AU88</f>
        <v>#DIV/0!</v>
      </c>
      <c r="AV92" t="e">
        <f>AV91/AV88</f>
        <v>#DIV/0!</v>
      </c>
    </row>
    <row r="93">
      <c r="C93" t="str">
        <v>google sem/online</v>
      </c>
      <c r="P93">
        <f>P95/P89</f>
        <v>0</v>
      </c>
      <c r="Q93">
        <f>Q95/Q89</f>
        <v>0</v>
      </c>
      <c r="R93">
        <v>0.23</v>
      </c>
      <c r="S93">
        <v>0.16</v>
      </c>
      <c r="T93">
        <v>0.12</v>
      </c>
      <c r="U93">
        <v>0.05</v>
      </c>
      <c r="V93">
        <v>0.18</v>
      </c>
      <c r="W93">
        <v>0.11</v>
      </c>
      <c r="X93">
        <v>0.24</v>
      </c>
      <c r="Y93">
        <v>0.17</v>
      </c>
      <c r="Z93">
        <v>0.1</v>
      </c>
      <c r="AA93">
        <v>0.06</v>
      </c>
      <c r="AB93">
        <v>0.19</v>
      </c>
      <c r="AC93">
        <v>0.12</v>
      </c>
      <c r="AD93">
        <v>0.05</v>
      </c>
      <c r="AE93">
        <v>0.18</v>
      </c>
      <c r="AF93">
        <v>0.11</v>
      </c>
      <c r="AG93">
        <v>0.24</v>
      </c>
      <c r="AH93">
        <v>0.17</v>
      </c>
      <c r="AI93">
        <v>0.13</v>
      </c>
      <c r="AJ93">
        <v>0.06</v>
      </c>
      <c r="AK93">
        <v>0.19</v>
      </c>
      <c r="AL93">
        <v>0.12</v>
      </c>
      <c r="AM93">
        <f>AM95/AM89</f>
        <v>0</v>
      </c>
      <c r="AN93">
        <f>AN95/AN89</f>
        <v>0</v>
      </c>
      <c r="AO93">
        <f>AO95/AO89</f>
        <v>0</v>
      </c>
      <c r="AP93">
        <f>AP95/AP89</f>
        <v>0</v>
      </c>
      <c r="AQ93">
        <f>AQ95/AQ89</f>
        <v>0</v>
      </c>
      <c r="AR93" t="e">
        <f>AR95/AR89</f>
        <v>#DIV/0!</v>
      </c>
      <c r="AS93" t="e">
        <f>AS95/AS89</f>
        <v>#DIV/0!</v>
      </c>
      <c r="AT93" t="e">
        <f>AT95/AT89</f>
        <v>#DIV/0!</v>
      </c>
      <c r="AU93" t="e">
        <f>AU95/AU89</f>
        <v>#DIV/0!</v>
      </c>
      <c r="AV93" t="e">
        <f>AV95/AV89</f>
        <v>#DIV/0!</v>
      </c>
    </row>
    <row r="94">
      <c r="C94" t="str">
        <v>官網</v>
      </c>
      <c r="P94">
        <v>79</v>
      </c>
      <c r="Q94">
        <v>12</v>
      </c>
      <c r="R94">
        <v>25</v>
      </c>
      <c r="S94">
        <v>21</v>
      </c>
      <c r="T94">
        <v>124</v>
      </c>
      <c r="U94">
        <v>137</v>
      </c>
      <c r="V94">
        <v>60</v>
      </c>
      <c r="W94">
        <v>163</v>
      </c>
      <c r="X94">
        <v>86</v>
      </c>
      <c r="Y94">
        <v>189</v>
      </c>
      <c r="Z94">
        <v>105</v>
      </c>
      <c r="AA94">
        <v>118</v>
      </c>
      <c r="AB94">
        <v>41</v>
      </c>
      <c r="AC94">
        <v>54</v>
      </c>
      <c r="AD94">
        <v>157</v>
      </c>
      <c r="AE94">
        <v>80</v>
      </c>
      <c r="AF94">
        <v>13</v>
      </c>
      <c r="AG94">
        <v>26</v>
      </c>
      <c r="AH94">
        <v>22</v>
      </c>
      <c r="AI94">
        <v>35</v>
      </c>
      <c r="AJ94">
        <v>48</v>
      </c>
      <c r="AK94">
        <v>61</v>
      </c>
      <c r="AL94">
        <v>74</v>
      </c>
    </row>
    <row r="95">
      <c r="C95" t="str">
        <v>google sem</v>
      </c>
      <c r="P95">
        <f>P105+P129</f>
        <v>0</v>
      </c>
      <c r="Q95">
        <f>Q105+Q129</f>
        <v>0</v>
      </c>
      <c r="R95">
        <v>25</v>
      </c>
      <c r="S95">
        <v>38</v>
      </c>
      <c r="T95">
        <v>51</v>
      </c>
      <c r="U95">
        <v>64</v>
      </c>
      <c r="V95">
        <v>77</v>
      </c>
      <c r="W95">
        <v>10</v>
      </c>
      <c r="X95">
        <v>23</v>
      </c>
      <c r="Y95">
        <v>19</v>
      </c>
      <c r="Z95">
        <v>32</v>
      </c>
      <c r="AA95">
        <v>45</v>
      </c>
      <c r="AB95">
        <v>58</v>
      </c>
      <c r="AC95">
        <v>71</v>
      </c>
      <c r="AD95">
        <v>84</v>
      </c>
      <c r="AE95">
        <v>17</v>
      </c>
      <c r="AF95">
        <v>13</v>
      </c>
      <c r="AG95">
        <v>26</v>
      </c>
      <c r="AH95">
        <v>39</v>
      </c>
      <c r="AI95">
        <v>52</v>
      </c>
      <c r="AJ95">
        <v>65</v>
      </c>
      <c r="AK95">
        <v>78</v>
      </c>
      <c r="AL95">
        <v>11</v>
      </c>
    </row>
    <row r="96">
      <c r="C96" t="str">
        <v>驗車</v>
      </c>
      <c r="P96">
        <v>16</v>
      </c>
      <c r="Q96">
        <v>29</v>
      </c>
      <c r="R96">
        <v>42</v>
      </c>
      <c r="S96">
        <v>55</v>
      </c>
      <c r="T96">
        <v>68</v>
      </c>
      <c r="U96">
        <v>81</v>
      </c>
      <c r="V96">
        <v>14</v>
      </c>
      <c r="W96">
        <v>10</v>
      </c>
      <c r="X96">
        <v>23</v>
      </c>
      <c r="Y96">
        <v>36</v>
      </c>
      <c r="Z96">
        <v>49</v>
      </c>
      <c r="AA96">
        <v>62</v>
      </c>
      <c r="AB96">
        <v>75</v>
      </c>
      <c r="AC96">
        <v>88</v>
      </c>
      <c r="AD96">
        <v>21</v>
      </c>
      <c r="AE96">
        <v>17</v>
      </c>
      <c r="AF96">
        <v>30</v>
      </c>
      <c r="AG96">
        <v>43</v>
      </c>
      <c r="AH96">
        <v>56</v>
      </c>
      <c r="AI96">
        <v>69</v>
      </c>
      <c r="AJ96">
        <v>82</v>
      </c>
      <c r="AK96">
        <v>15</v>
      </c>
      <c r="AL96">
        <v>11</v>
      </c>
    </row>
    <row r="97">
      <c r="C97" t="str">
        <v>facebook</v>
      </c>
      <c r="P97">
        <f>P107+P131</f>
        <v>0</v>
      </c>
      <c r="Q97">
        <f>Q107+Q131</f>
        <v>0</v>
      </c>
      <c r="R97">
        <f>R107+R131</f>
        <v>0</v>
      </c>
      <c r="S97">
        <f>S107+S131</f>
        <v>0</v>
      </c>
      <c r="T97">
        <f>T107+T131</f>
        <v>0</v>
      </c>
      <c r="U97">
        <f>U107+U131</f>
        <v>0</v>
      </c>
      <c r="V97">
        <f>V107+V131</f>
        <v>0</v>
      </c>
      <c r="W97">
        <f>W107+W131</f>
        <v>0</v>
      </c>
      <c r="X97">
        <f>X107+X131</f>
        <v>0</v>
      </c>
      <c r="Y97">
        <f>Y107+Y131</f>
        <v>0</v>
      </c>
      <c r="Z97">
        <f>Z107+Z131</f>
        <v>0</v>
      </c>
      <c r="AA97">
        <f>AA107+AA131</f>
        <v>0</v>
      </c>
      <c r="AB97">
        <f>AB107+AB131</f>
        <v>0</v>
      </c>
      <c r="AC97">
        <f>AC107+AC131</f>
        <v>0</v>
      </c>
      <c r="AD97">
        <f>AD107+AD131</f>
        <v>0</v>
      </c>
      <c r="AE97">
        <v>34</v>
      </c>
      <c r="AF97">
        <v>47</v>
      </c>
      <c r="AG97">
        <v>60</v>
      </c>
      <c r="AH97">
        <v>73</v>
      </c>
      <c r="AI97">
        <f>AI107+AI131</f>
        <v>0</v>
      </c>
      <c r="AJ97">
        <f>AJ107+AJ131</f>
        <v>0</v>
      </c>
      <c r="AK97">
        <v>15</v>
      </c>
      <c r="AL97">
        <v>28</v>
      </c>
    </row>
    <row r="98">
      <c r="C98" t="str">
        <v>taiping online/online</v>
      </c>
      <c r="P98">
        <v>50</v>
      </c>
      <c r="Q98">
        <v>0.18</v>
      </c>
      <c r="R98">
        <v>0.11</v>
      </c>
      <c r="S98">
        <v>0.24</v>
      </c>
      <c r="T98">
        <v>0.17</v>
      </c>
      <c r="U98">
        <v>0.13</v>
      </c>
      <c r="V98">
        <v>0.06</v>
      </c>
      <c r="W98">
        <v>0.19</v>
      </c>
      <c r="X98">
        <v>0.12</v>
      </c>
      <c r="Y98">
        <v>0.05</v>
      </c>
      <c r="Z98">
        <v>0.18</v>
      </c>
      <c r="AA98">
        <v>0.11</v>
      </c>
      <c r="AB98">
        <v>0.07</v>
      </c>
      <c r="AC98">
        <v>0.2</v>
      </c>
      <c r="AD98">
        <v>0.13</v>
      </c>
      <c r="AE98">
        <v>0.06</v>
      </c>
      <c r="AF98">
        <v>0.19</v>
      </c>
      <c r="AG98">
        <v>0.12</v>
      </c>
      <c r="AH98">
        <v>0.05</v>
      </c>
      <c r="AI98">
        <v>0.18</v>
      </c>
      <c r="AJ98">
        <v>0.14</v>
      </c>
      <c r="AK98">
        <v>0.07</v>
      </c>
      <c r="AL98">
        <v>0.2</v>
      </c>
    </row>
    <row r="100">
      <c r="C100" t="str">
        <v>Taiping Product%</v>
      </c>
      <c r="D100" t="str">
        <v>%</v>
      </c>
      <c r="T100">
        <v>0.14</v>
      </c>
      <c r="U100">
        <v>0.07</v>
      </c>
      <c r="V100">
        <v>0.2</v>
      </c>
      <c r="W100">
        <v>0.13</v>
      </c>
      <c r="X100">
        <v>0.06</v>
      </c>
      <c r="Y100">
        <v>0.19</v>
      </c>
      <c r="Z100">
        <v>0.15</v>
      </c>
      <c r="AA100">
        <v>0.08</v>
      </c>
      <c r="AB100">
        <v>0.21</v>
      </c>
      <c r="AC100">
        <v>0.14</v>
      </c>
      <c r="AD100">
        <v>0.07</v>
      </c>
      <c r="AE100">
        <v>0.2</v>
      </c>
      <c r="AF100">
        <v>0.13</v>
      </c>
      <c r="AG100">
        <v>0.09</v>
      </c>
      <c r="AH100">
        <v>0.22</v>
      </c>
      <c r="AI100">
        <v>0.15</v>
      </c>
      <c r="AJ100">
        <v>0.08</v>
      </c>
      <c r="AK100">
        <v>0.21</v>
      </c>
      <c r="AL100">
        <v>0.14</v>
      </c>
    </row>
    <row r="101">
      <c r="C101" t="str">
        <v>Taiping Product</v>
      </c>
      <c r="D101" t="str">
        <v>#</v>
      </c>
      <c r="E101">
        <v>145</v>
      </c>
      <c r="F101">
        <v>158</v>
      </c>
      <c r="H101">
        <v>184</v>
      </c>
      <c r="J101">
        <v>23</v>
      </c>
      <c r="K101">
        <v>126</v>
      </c>
      <c r="M101">
        <v>152</v>
      </c>
      <c r="N101">
        <v>165</v>
      </c>
      <c r="O101">
        <v>178</v>
      </c>
      <c r="P101">
        <v>21</v>
      </c>
      <c r="Q101">
        <v>17</v>
      </c>
      <c r="R101">
        <v>30</v>
      </c>
      <c r="S101">
        <v>43</v>
      </c>
      <c r="T101">
        <v>56</v>
      </c>
      <c r="U101">
        <v>159</v>
      </c>
      <c r="V101">
        <v>82</v>
      </c>
      <c r="W101">
        <v>15</v>
      </c>
      <c r="X101">
        <v>11</v>
      </c>
      <c r="Y101">
        <v>114</v>
      </c>
      <c r="Z101">
        <v>127</v>
      </c>
      <c r="AA101">
        <v>50</v>
      </c>
      <c r="AB101">
        <v>63</v>
      </c>
      <c r="AC101">
        <v>76</v>
      </c>
      <c r="AD101">
        <v>89</v>
      </c>
      <c r="AE101">
        <v>22</v>
      </c>
      <c r="AF101">
        <v>18</v>
      </c>
      <c r="AG101">
        <v>31</v>
      </c>
      <c r="AH101">
        <v>44</v>
      </c>
      <c r="AI101">
        <v>57</v>
      </c>
      <c r="AJ101">
        <v>70</v>
      </c>
      <c r="AK101">
        <v>83</v>
      </c>
      <c r="AL101">
        <v>16</v>
      </c>
      <c r="AM101">
        <v>102</v>
      </c>
      <c r="AN101">
        <v>115</v>
      </c>
      <c r="AO101">
        <v>128</v>
      </c>
      <c r="AP101">
        <v>141</v>
      </c>
      <c r="AQ101">
        <v>154</v>
      </c>
      <c r="AR101">
        <f>AR102+AR113</f>
        <v>0</v>
      </c>
      <c r="AS101">
        <f>AS102+AS113</f>
        <v>0</v>
      </c>
      <c r="AT101">
        <f>AT102+AT113</f>
        <v>0</v>
      </c>
      <c r="AU101">
        <f>AU102+AU113</f>
        <v>0</v>
      </c>
      <c r="AV101">
        <f>AV102+AV113</f>
        <v>0</v>
      </c>
    </row>
    <row r="102">
      <c r="C102" t="str">
        <v>一站式产品</v>
      </c>
      <c r="M102">
        <v>169</v>
      </c>
      <c r="N102">
        <v>182</v>
      </c>
      <c r="O102">
        <v>195</v>
      </c>
      <c r="P102">
        <v>21</v>
      </c>
      <c r="Q102">
        <v>34</v>
      </c>
      <c r="R102">
        <v>47</v>
      </c>
      <c r="S102">
        <v>60</v>
      </c>
      <c r="T102">
        <v>73</v>
      </c>
      <c r="U102">
        <v>176</v>
      </c>
      <c r="V102">
        <v>19</v>
      </c>
      <c r="W102">
        <v>15</v>
      </c>
      <c r="X102">
        <v>28</v>
      </c>
      <c r="Y102">
        <v>131</v>
      </c>
      <c r="Z102">
        <v>144</v>
      </c>
      <c r="AA102">
        <v>67</v>
      </c>
      <c r="AB102">
        <v>80</v>
      </c>
      <c r="AC102">
        <v>13</v>
      </c>
      <c r="AD102">
        <v>26</v>
      </c>
      <c r="AE102">
        <v>22</v>
      </c>
      <c r="AF102">
        <v>35</v>
      </c>
      <c r="AG102">
        <v>48</v>
      </c>
      <c r="AH102">
        <v>61</v>
      </c>
      <c r="AI102">
        <v>74</v>
      </c>
      <c r="AJ102">
        <v>87</v>
      </c>
      <c r="AK102">
        <v>20</v>
      </c>
      <c r="AL102">
        <f>AL103+AL110</f>
        <v>0</v>
      </c>
      <c r="AM102">
        <f>AM103+AM110</f>
        <v>0</v>
      </c>
      <c r="AN102">
        <f>AN103+AN110</f>
        <v>0</v>
      </c>
      <c r="AO102">
        <f>AO103+AO110</f>
        <v>0</v>
      </c>
      <c r="AP102">
        <f>AP103+AP110</f>
        <v>0</v>
      </c>
      <c r="AQ102">
        <f>AQ103+AQ110</f>
        <v>0</v>
      </c>
      <c r="AR102">
        <f>AR103+AR110</f>
        <v>0</v>
      </c>
      <c r="AS102">
        <f>AS103+AS110</f>
        <v>0</v>
      </c>
      <c r="AT102">
        <f>AT103+AT110</f>
        <v>0</v>
      </c>
      <c r="AU102">
        <f>AU103+AU110</f>
        <v>0</v>
      </c>
    </row>
    <row r="103">
      <c r="C103" t="str">
        <v xml:space="preserve"> - Online channel</v>
      </c>
      <c r="D103" t="str">
        <v>#</v>
      </c>
      <c r="F103">
        <v>192</v>
      </c>
      <c r="H103">
        <v>121</v>
      </c>
      <c r="J103">
        <v>57</v>
      </c>
      <c r="K103">
        <v>70</v>
      </c>
      <c r="M103">
        <v>186</v>
      </c>
      <c r="N103">
        <v>102</v>
      </c>
      <c r="O103">
        <v>115</v>
      </c>
      <c r="P103">
        <v>38</v>
      </c>
      <c r="Q103">
        <v>51</v>
      </c>
      <c r="R103">
        <v>64</v>
      </c>
      <c r="S103">
        <v>77</v>
      </c>
      <c r="T103">
        <v>10</v>
      </c>
      <c r="U103">
        <v>23</v>
      </c>
      <c r="V103">
        <v>19</v>
      </c>
      <c r="W103">
        <v>32</v>
      </c>
      <c r="X103">
        <v>45</v>
      </c>
      <c r="Y103">
        <v>58</v>
      </c>
      <c r="Z103">
        <v>71</v>
      </c>
      <c r="AA103">
        <v>84</v>
      </c>
      <c r="AB103">
        <v>17</v>
      </c>
      <c r="AC103">
        <v>13</v>
      </c>
      <c r="AD103">
        <v>26</v>
      </c>
      <c r="AE103">
        <v>39</v>
      </c>
      <c r="AF103">
        <v>52</v>
      </c>
      <c r="AG103">
        <v>65</v>
      </c>
      <c r="AH103">
        <v>78</v>
      </c>
      <c r="AI103">
        <v>11</v>
      </c>
      <c r="AJ103">
        <v>24</v>
      </c>
      <c r="AK103">
        <v>20</v>
      </c>
      <c r="AL103">
        <f>SUM(AL104:AL109)</f>
        <v>0</v>
      </c>
      <c r="AM103">
        <f>SUM(AM104:AM109)</f>
        <v>0</v>
      </c>
      <c r="AN103">
        <f>SUM(AN104:AN109)</f>
        <v>0</v>
      </c>
      <c r="AO103">
        <f>SUM(AO104:AO109)</f>
        <v>0</v>
      </c>
      <c r="AP103">
        <f>SUM(AP104:AP109)</f>
        <v>0</v>
      </c>
      <c r="AQ103">
        <f>SUM(AQ104:AQ109)</f>
        <v>0</v>
      </c>
      <c r="AR103">
        <f>SUM(AR104:AR109)</f>
        <v>0</v>
      </c>
      <c r="AS103">
        <f>SUM(AS104:AS109)</f>
        <v>0</v>
      </c>
      <c r="AT103">
        <f>SUM(AT104:AT109)</f>
        <v>0</v>
      </c>
      <c r="AU103">
        <f>SUM(AU104:AU109)</f>
        <v>0</v>
      </c>
      <c r="AV103">
        <f>SUM(AV104:AV109)</f>
        <v>0</v>
      </c>
    </row>
    <row r="104">
      <c r="C104" t="str">
        <v>官网</v>
      </c>
      <c r="D104" t="str">
        <v>#</v>
      </c>
      <c r="P104">
        <v>55</v>
      </c>
      <c r="Q104">
        <v>68</v>
      </c>
      <c r="R104">
        <v>81</v>
      </c>
      <c r="S104">
        <v>14</v>
      </c>
      <c r="T104">
        <v>10</v>
      </c>
      <c r="U104">
        <v>23</v>
      </c>
      <c r="V104">
        <v>36</v>
      </c>
      <c r="W104">
        <v>49</v>
      </c>
      <c r="X104">
        <v>62</v>
      </c>
      <c r="Y104">
        <v>75</v>
      </c>
      <c r="Z104">
        <v>88</v>
      </c>
      <c r="AA104">
        <v>21</v>
      </c>
      <c r="AB104">
        <v>17</v>
      </c>
      <c r="AC104">
        <v>30</v>
      </c>
      <c r="AD104">
        <v>43</v>
      </c>
      <c r="AE104">
        <v>56</v>
      </c>
      <c r="AF104">
        <v>69</v>
      </c>
      <c r="AG104">
        <v>82</v>
      </c>
      <c r="AH104">
        <v>15</v>
      </c>
      <c r="AI104">
        <v>11</v>
      </c>
      <c r="AJ104">
        <v>24</v>
      </c>
      <c r="AK104">
        <v>37</v>
      </c>
    </row>
    <row r="105">
      <c r="C105" t="str">
        <v>谷歌SEM</v>
      </c>
      <c r="D105" t="str">
        <v>#</v>
      </c>
      <c r="T105">
        <v>27</v>
      </c>
      <c r="U105">
        <v>40</v>
      </c>
      <c r="V105">
        <v>53</v>
      </c>
      <c r="W105">
        <v>66</v>
      </c>
      <c r="X105">
        <v>79</v>
      </c>
      <c r="Y105">
        <v>12</v>
      </c>
      <c r="Z105">
        <v>25</v>
      </c>
      <c r="AA105">
        <v>21</v>
      </c>
      <c r="AB105">
        <v>34</v>
      </c>
      <c r="AC105">
        <v>47</v>
      </c>
      <c r="AD105">
        <v>60</v>
      </c>
      <c r="AE105">
        <v>73</v>
      </c>
      <c r="AF105">
        <v>86</v>
      </c>
      <c r="AG105">
        <v>19</v>
      </c>
      <c r="AH105">
        <v>15</v>
      </c>
      <c r="AI105">
        <v>28</v>
      </c>
      <c r="AJ105">
        <v>41</v>
      </c>
      <c r="AK105">
        <v>54</v>
      </c>
    </row>
    <row r="106">
      <c r="C106" t="str">
        <v>验车网站</v>
      </c>
      <c r="D106" t="str">
        <v>#</v>
      </c>
      <c r="P106">
        <v>89</v>
      </c>
      <c r="Q106">
        <v>22</v>
      </c>
      <c r="R106">
        <v>18</v>
      </c>
      <c r="S106">
        <v>31</v>
      </c>
      <c r="T106">
        <v>44</v>
      </c>
      <c r="U106">
        <v>57</v>
      </c>
      <c r="V106">
        <v>70</v>
      </c>
      <c r="W106">
        <v>83</v>
      </c>
      <c r="X106">
        <v>16</v>
      </c>
      <c r="Y106">
        <v>12</v>
      </c>
      <c r="Z106">
        <v>25</v>
      </c>
      <c r="AA106">
        <v>38</v>
      </c>
      <c r="AB106">
        <v>51</v>
      </c>
      <c r="AC106">
        <v>64</v>
      </c>
      <c r="AD106">
        <v>77</v>
      </c>
      <c r="AE106">
        <v>10</v>
      </c>
      <c r="AF106">
        <v>23</v>
      </c>
      <c r="AG106">
        <v>19</v>
      </c>
      <c r="AH106">
        <v>32</v>
      </c>
      <c r="AI106">
        <v>45</v>
      </c>
      <c r="AJ106">
        <v>58</v>
      </c>
      <c r="AK106">
        <v>71</v>
      </c>
    </row>
    <row r="107">
      <c r="C107" t="str">
        <v>Facebook</v>
      </c>
      <c r="D107" t="str">
        <v>#</v>
      </c>
      <c r="AE107">
        <v>10</v>
      </c>
      <c r="AF107">
        <v>23</v>
      </c>
      <c r="AG107">
        <v>36</v>
      </c>
      <c r="AH107">
        <v>49</v>
      </c>
      <c r="AK107">
        <v>88</v>
      </c>
    </row>
    <row r="108">
      <c r="C108" t="str">
        <v>新田（25年11月及之后，如有）</v>
      </c>
      <c r="D108" t="str">
        <v>#</v>
      </c>
    </row>
    <row r="109">
      <c r="C109" t="str">
        <v>电邮</v>
      </c>
    </row>
    <row r="110">
      <c r="C110" t="str">
        <v xml:space="preserve"> - CTG channel</v>
      </c>
      <c r="D110" t="str">
        <v>#</v>
      </c>
      <c r="F110">
        <v>27</v>
      </c>
      <c r="H110">
        <v>53</v>
      </c>
      <c r="J110">
        <v>79</v>
      </c>
      <c r="K110">
        <v>12</v>
      </c>
      <c r="O110">
        <v>47</v>
      </c>
      <c r="P110">
        <v>60</v>
      </c>
      <c r="Q110">
        <v>73</v>
      </c>
      <c r="R110">
        <v>86</v>
      </c>
      <c r="S110">
        <v>19</v>
      </c>
      <c r="T110">
        <v>15</v>
      </c>
      <c r="U110">
        <v>28</v>
      </c>
      <c r="V110">
        <v>41</v>
      </c>
      <c r="W110">
        <v>54</v>
      </c>
      <c r="X110">
        <v>67</v>
      </c>
      <c r="Y110">
        <v>80</v>
      </c>
      <c r="Z110">
        <v>13</v>
      </c>
      <c r="AA110">
        <v>26</v>
      </c>
      <c r="AB110">
        <v>22</v>
      </c>
      <c r="AC110">
        <v>35</v>
      </c>
      <c r="AD110">
        <v>48</v>
      </c>
      <c r="AE110">
        <v>61</v>
      </c>
      <c r="AF110">
        <v>74</v>
      </c>
      <c r="AG110">
        <v>87</v>
      </c>
      <c r="AH110">
        <v>20</v>
      </c>
      <c r="AI110">
        <v>16</v>
      </c>
      <c r="AJ110">
        <v>29</v>
      </c>
      <c r="AK110">
        <v>42</v>
      </c>
      <c r="AL110">
        <f>SUM(AL111:AL112)</f>
        <v>0</v>
      </c>
      <c r="AM110">
        <f>SUM(AM111:AM112)</f>
        <v>0</v>
      </c>
      <c r="AN110">
        <f>SUM(AN111:AN112)</f>
        <v>0</v>
      </c>
      <c r="AO110">
        <f>SUM(AO111:AO112)</f>
        <v>0</v>
      </c>
      <c r="AP110">
        <f>SUM(AP111:AP112)</f>
        <v>0</v>
      </c>
      <c r="AQ110">
        <f>SUM(AQ111:AQ112)</f>
        <v>0</v>
      </c>
      <c r="AR110">
        <f>SUM(AR111:AR112)</f>
        <v>0</v>
      </c>
      <c r="AS110">
        <f>SUM(AS111:AS112)</f>
        <v>0</v>
      </c>
      <c r="AT110">
        <f>SUM(AT111:AT112)</f>
        <v>0</v>
      </c>
      <c r="AU110">
        <f>SUM(AU111:AU112)</f>
        <v>0</v>
      </c>
    </row>
    <row r="111">
      <c r="C111" t="str">
        <v>天水围</v>
      </c>
      <c r="D111" t="str">
        <v>#</v>
      </c>
      <c r="P111">
        <v>77</v>
      </c>
      <c r="Q111">
        <v>10</v>
      </c>
      <c r="R111">
        <v>23</v>
      </c>
      <c r="S111">
        <v>19</v>
      </c>
      <c r="T111">
        <v>32</v>
      </c>
      <c r="U111">
        <v>45</v>
      </c>
      <c r="V111">
        <v>58</v>
      </c>
      <c r="W111">
        <v>71</v>
      </c>
      <c r="X111">
        <v>84</v>
      </c>
      <c r="Y111">
        <v>17</v>
      </c>
      <c r="Z111">
        <v>13</v>
      </c>
      <c r="AA111">
        <v>26</v>
      </c>
      <c r="AB111">
        <v>39</v>
      </c>
      <c r="AC111">
        <v>52</v>
      </c>
      <c r="AD111">
        <v>65</v>
      </c>
      <c r="AE111">
        <v>78</v>
      </c>
      <c r="AF111">
        <v>11</v>
      </c>
      <c r="AG111">
        <v>24</v>
      </c>
      <c r="AH111">
        <v>20</v>
      </c>
      <c r="AI111">
        <v>33</v>
      </c>
      <c r="AJ111">
        <v>46</v>
      </c>
      <c r="AK111">
        <v>59</v>
      </c>
    </row>
    <row r="112">
      <c r="C112" t="str">
        <v>新田（25年10月及之前）</v>
      </c>
      <c r="D112" t="str">
        <v>#</v>
      </c>
      <c r="P112">
        <v>14</v>
      </c>
      <c r="Q112">
        <v>10</v>
      </c>
      <c r="R112">
        <v>23</v>
      </c>
      <c r="S112">
        <v>36</v>
      </c>
      <c r="T112">
        <v>49</v>
      </c>
      <c r="U112">
        <v>62</v>
      </c>
      <c r="V112">
        <v>75</v>
      </c>
      <c r="W112">
        <v>88</v>
      </c>
      <c r="X112">
        <v>21</v>
      </c>
      <c r="Y112">
        <v>17</v>
      </c>
      <c r="Z112">
        <v>30</v>
      </c>
      <c r="AA112">
        <v>43</v>
      </c>
      <c r="AG112">
        <v>24</v>
      </c>
    </row>
    <row r="113">
      <c r="C113" t="str">
        <v>等效先认产品</v>
      </c>
      <c r="AK113">
        <v>13</v>
      </c>
      <c r="AL113">
        <v>26</v>
      </c>
      <c r="AM113">
        <v>112</v>
      </c>
      <c r="AN113">
        <v>125</v>
      </c>
      <c r="AO113">
        <v>138</v>
      </c>
      <c r="AP113">
        <v>151</v>
      </c>
      <c r="AQ113">
        <v>164</v>
      </c>
      <c r="AR113">
        <f>AR114+AR121</f>
        <v>0</v>
      </c>
      <c r="AS113">
        <f>AS114+AS121</f>
        <v>0</v>
      </c>
      <c r="AT113">
        <f>AT114+AT121</f>
        <v>0</v>
      </c>
      <c r="AU113">
        <f>AU114+AU121</f>
        <v>0</v>
      </c>
      <c r="AV113">
        <f>AV114+AV121</f>
        <v>0</v>
      </c>
    </row>
    <row r="114">
      <c r="B114" t="str">
        <v>Webpage, organic, SEM</v>
      </c>
      <c r="C114" t="str">
        <v xml:space="preserve"> - Online channel</v>
      </c>
      <c r="D114" t="str">
        <v>#</v>
      </c>
      <c r="AK114">
        <v>13</v>
      </c>
      <c r="AL114">
        <v>26</v>
      </c>
      <c r="AM114">
        <v>129</v>
      </c>
      <c r="AN114">
        <v>142</v>
      </c>
      <c r="AO114">
        <v>155</v>
      </c>
      <c r="AP114">
        <v>168</v>
      </c>
      <c r="AQ114">
        <v>181</v>
      </c>
      <c r="AR114">
        <f>SUM(AR115:AR120)</f>
        <v>0</v>
      </c>
      <c r="AS114">
        <f>SUM(AS115:AS120)</f>
        <v>0</v>
      </c>
      <c r="AT114">
        <f>SUM(AT115:AT120)</f>
        <v>0</v>
      </c>
      <c r="AU114">
        <f>SUM(AU115:AU120)</f>
        <v>0</v>
      </c>
    </row>
    <row r="115">
      <c r="C115" t="str">
        <v>官网</v>
      </c>
      <c r="D115" t="str">
        <v>#</v>
      </c>
      <c r="AK115">
        <v>30</v>
      </c>
      <c r="AL115">
        <v>43</v>
      </c>
      <c r="AM115">
        <v>56</v>
      </c>
      <c r="AN115">
        <v>69</v>
      </c>
      <c r="AO115">
        <v>82</v>
      </c>
      <c r="AP115">
        <v>15</v>
      </c>
      <c r="AQ115">
        <v>11</v>
      </c>
    </row>
    <row r="116">
      <c r="C116" t="str">
        <v>谷歌SEM</v>
      </c>
      <c r="D116" t="str">
        <v>#</v>
      </c>
      <c r="AL116">
        <v>60</v>
      </c>
      <c r="AM116">
        <v>73</v>
      </c>
      <c r="AN116">
        <v>86</v>
      </c>
      <c r="AO116">
        <v>19</v>
      </c>
      <c r="AP116">
        <v>15</v>
      </c>
      <c r="AQ116">
        <v>28</v>
      </c>
    </row>
    <row r="117">
      <c r="C117" t="str">
        <v>验车网站</v>
      </c>
      <c r="D117" t="str">
        <v>#</v>
      </c>
      <c r="AL117">
        <v>77</v>
      </c>
      <c r="AM117">
        <v>10</v>
      </c>
      <c r="AN117">
        <v>23</v>
      </c>
      <c r="AO117">
        <v>19</v>
      </c>
      <c r="AP117">
        <v>32</v>
      </c>
      <c r="AQ117">
        <v>45</v>
      </c>
    </row>
    <row r="118">
      <c r="C118" t="str">
        <v>Facebook</v>
      </c>
      <c r="D118" t="str">
        <v>#</v>
      </c>
      <c r="AL118">
        <v>14</v>
      </c>
      <c r="AM118">
        <v>10</v>
      </c>
      <c r="AN118">
        <v>23</v>
      </c>
      <c r="AO118">
        <v>36</v>
      </c>
      <c r="AP118">
        <v>49</v>
      </c>
      <c r="AQ118">
        <v>62</v>
      </c>
    </row>
    <row r="119">
      <c r="C119" t="str">
        <v>新田（25年11月及之后，如有）</v>
      </c>
      <c r="D119" t="str">
        <v>#</v>
      </c>
      <c r="AL119">
        <v>14</v>
      </c>
    </row>
    <row r="120">
      <c r="C120" t="str">
        <v>电邮</v>
      </c>
      <c r="AN120">
        <v>57</v>
      </c>
      <c r="AO120">
        <v>70</v>
      </c>
      <c r="AP120">
        <v>83</v>
      </c>
      <c r="AQ120">
        <v>16</v>
      </c>
    </row>
    <row r="121">
      <c r="B121" t="str">
        <v>QR code+redirect</v>
      </c>
      <c r="C121" t="str">
        <v xml:space="preserve"> - CTG channel</v>
      </c>
      <c r="D121" t="str">
        <v>#</v>
      </c>
      <c r="AK121">
        <f>SUM(AK122:AK123)</f>
        <v>0</v>
      </c>
      <c r="AL121">
        <v>48</v>
      </c>
      <c r="AM121">
        <v>61</v>
      </c>
      <c r="AN121">
        <v>74</v>
      </c>
      <c r="AO121">
        <v>87</v>
      </c>
      <c r="AP121">
        <v>20</v>
      </c>
      <c r="AQ121">
        <v>16</v>
      </c>
      <c r="AR121">
        <f>SUM(AR122:AR123)</f>
        <v>0</v>
      </c>
      <c r="AS121">
        <f>SUM(AS122:AS123)</f>
        <v>0</v>
      </c>
      <c r="AT121">
        <f>SUM(AT122:AT123)</f>
        <v>0</v>
      </c>
      <c r="AU121">
        <f>SUM(AU122:AU123)</f>
        <v>0</v>
      </c>
    </row>
    <row r="122">
      <c r="C122" t="str">
        <v>天水围</v>
      </c>
      <c r="D122" t="str">
        <v>#</v>
      </c>
      <c r="AL122">
        <v>65</v>
      </c>
      <c r="AM122">
        <v>78</v>
      </c>
      <c r="AN122">
        <v>11</v>
      </c>
      <c r="AO122">
        <v>24</v>
      </c>
      <c r="AP122">
        <v>20</v>
      </c>
      <c r="AQ122">
        <v>33</v>
      </c>
    </row>
    <row r="123">
      <c r="C123" t="str">
        <v>新田（25年10月及之前）</v>
      </c>
      <c r="D123" t="str">
        <v>#</v>
      </c>
    </row>
    <row r="124">
      <c r="C124" t="str">
        <v>PICC Product%</v>
      </c>
      <c r="D124" t="str">
        <v>%</v>
      </c>
      <c r="T124">
        <v>0.14</v>
      </c>
      <c r="U124">
        <v>0.07</v>
      </c>
      <c r="V124">
        <v>0.2</v>
      </c>
      <c r="W124">
        <v>0.13</v>
      </c>
      <c r="X124">
        <v>0.09</v>
      </c>
      <c r="Y124">
        <v>0.22</v>
      </c>
      <c r="Z124">
        <v>0.15</v>
      </c>
      <c r="AA124">
        <v>0.08</v>
      </c>
      <c r="AB124">
        <v>0.21</v>
      </c>
      <c r="AC124">
        <v>0.14</v>
      </c>
      <c r="AD124">
        <v>0.07</v>
      </c>
      <c r="AE124">
        <v>0.2</v>
      </c>
      <c r="AF124">
        <v>0.16</v>
      </c>
      <c r="AG124">
        <v>0.09</v>
      </c>
      <c r="AH124">
        <v>0.22</v>
      </c>
      <c r="AI124">
        <v>0.15</v>
      </c>
      <c r="AJ124">
        <v>0.08</v>
      </c>
      <c r="AK124">
        <v>0.21</v>
      </c>
      <c r="AL124">
        <v>0.14</v>
      </c>
      <c r="AM124">
        <v>0.1</v>
      </c>
      <c r="AN124">
        <v>0.23</v>
      </c>
      <c r="AO124">
        <v>0.16</v>
      </c>
      <c r="AP124">
        <v>0.09</v>
      </c>
      <c r="AQ124">
        <v>0.22</v>
      </c>
      <c r="AR124" t="e">
        <f>AR125/(AR101+AR125)</f>
        <v>#DIV/0!</v>
      </c>
      <c r="AS124" t="e">
        <f>AS125/(AS101+AS125)</f>
        <v>#DIV/0!</v>
      </c>
      <c r="AT124" t="e">
        <f>AT125/(AT101+AT125)</f>
        <v>#DIV/0!</v>
      </c>
      <c r="AU124" t="e">
        <f>AU125/(AU101+AU125)</f>
        <v>#DIV/0!</v>
      </c>
      <c r="AV124" t="e">
        <f>AV125/(AV101+AV125)</f>
        <v>#DIV/0!</v>
      </c>
    </row>
    <row r="125">
      <c r="C125" t="str">
        <v>PICC Product</v>
      </c>
      <c r="D125" t="str">
        <v>#</v>
      </c>
      <c r="F125">
        <v>178</v>
      </c>
      <c r="H125">
        <v>107</v>
      </c>
      <c r="J125">
        <v>133</v>
      </c>
      <c r="K125">
        <v>146</v>
      </c>
      <c r="O125">
        <v>11</v>
      </c>
      <c r="P125">
        <v>24</v>
      </c>
      <c r="Q125">
        <v>127</v>
      </c>
      <c r="R125">
        <v>140</v>
      </c>
      <c r="S125">
        <v>153</v>
      </c>
      <c r="T125">
        <v>166</v>
      </c>
      <c r="U125">
        <v>179</v>
      </c>
      <c r="V125">
        <v>192</v>
      </c>
      <c r="W125">
        <v>108</v>
      </c>
      <c r="X125">
        <v>121</v>
      </c>
      <c r="Y125">
        <v>134</v>
      </c>
      <c r="Z125">
        <v>147</v>
      </c>
      <c r="AA125">
        <v>160</v>
      </c>
      <c r="AB125">
        <v>173</v>
      </c>
      <c r="AC125">
        <v>186</v>
      </c>
      <c r="AD125">
        <v>102</v>
      </c>
      <c r="AE125">
        <v>25</v>
      </c>
      <c r="AF125">
        <v>128</v>
      </c>
      <c r="AG125">
        <v>141</v>
      </c>
      <c r="AH125">
        <v>154</v>
      </c>
      <c r="AI125">
        <v>167</v>
      </c>
      <c r="AJ125">
        <v>180</v>
      </c>
      <c r="AK125">
        <v>193</v>
      </c>
      <c r="AL125">
        <v>109</v>
      </c>
      <c r="AM125">
        <v>122</v>
      </c>
      <c r="AN125">
        <v>135</v>
      </c>
      <c r="AO125">
        <v>148</v>
      </c>
      <c r="AP125">
        <v>161</v>
      </c>
      <c r="AQ125">
        <v>174</v>
      </c>
      <c r="AR125">
        <f>AR126+AR138</f>
        <v>0</v>
      </c>
      <c r="AS125">
        <f>AS126+AS138</f>
        <v>0</v>
      </c>
      <c r="AT125">
        <f>AT126+AT138</f>
        <v>0</v>
      </c>
      <c r="AU125">
        <f>AU126+AU138</f>
        <v>0</v>
      </c>
      <c r="AV125">
        <f>AV126+AV138</f>
        <v>0</v>
      </c>
    </row>
    <row r="126">
      <c r="C126" t="str">
        <v>一站式产品</v>
      </c>
      <c r="D126" t="str">
        <v>#</v>
      </c>
      <c r="M126">
        <f>M127+M134</f>
        <v>0</v>
      </c>
      <c r="N126">
        <f>N127+N134</f>
        <v>0</v>
      </c>
      <c r="O126">
        <v>28</v>
      </c>
      <c r="P126">
        <v>41</v>
      </c>
      <c r="Q126">
        <v>144</v>
      </c>
      <c r="R126">
        <v>157</v>
      </c>
      <c r="S126">
        <v>170</v>
      </c>
      <c r="T126">
        <v>183</v>
      </c>
      <c r="U126">
        <v>196</v>
      </c>
      <c r="V126">
        <v>112</v>
      </c>
      <c r="W126">
        <v>125</v>
      </c>
      <c r="X126">
        <v>138</v>
      </c>
      <c r="Y126">
        <v>151</v>
      </c>
      <c r="Z126">
        <v>164</v>
      </c>
      <c r="AA126">
        <v>177</v>
      </c>
      <c r="AB126">
        <v>190</v>
      </c>
      <c r="AC126">
        <v>106</v>
      </c>
      <c r="AD126">
        <v>119</v>
      </c>
      <c r="AE126">
        <v>42</v>
      </c>
      <c r="AF126">
        <v>145</v>
      </c>
      <c r="AG126">
        <v>158</v>
      </c>
      <c r="AH126">
        <v>171</v>
      </c>
      <c r="AI126">
        <v>184</v>
      </c>
      <c r="AJ126">
        <v>100</v>
      </c>
      <c r="AK126">
        <v>113</v>
      </c>
      <c r="AL126">
        <v>126</v>
      </c>
      <c r="AM126">
        <v>139</v>
      </c>
      <c r="AN126">
        <v>152</v>
      </c>
      <c r="AO126">
        <v>165</v>
      </c>
      <c r="AP126">
        <v>178</v>
      </c>
      <c r="AQ126">
        <v>191</v>
      </c>
      <c r="AR126">
        <f>AR127+AR134</f>
        <v>0</v>
      </c>
      <c r="AS126">
        <f>AS127+AS134</f>
        <v>0</v>
      </c>
      <c r="AT126">
        <f>AT127+AT134</f>
        <v>0</v>
      </c>
      <c r="AU126">
        <f>AU127+AU134</f>
        <v>0</v>
      </c>
    </row>
    <row r="127">
      <c r="C127" t="str">
        <v xml:space="preserve"> - Online channel</v>
      </c>
      <c r="D127" t="str">
        <v>#</v>
      </c>
      <c r="F127">
        <v>115</v>
      </c>
      <c r="H127">
        <v>141</v>
      </c>
      <c r="J127">
        <v>167</v>
      </c>
      <c r="K127">
        <v>180</v>
      </c>
      <c r="Q127">
        <v>71</v>
      </c>
      <c r="R127">
        <v>174</v>
      </c>
      <c r="S127">
        <v>187</v>
      </c>
      <c r="T127">
        <v>103</v>
      </c>
      <c r="U127">
        <v>116</v>
      </c>
      <c r="V127">
        <v>129</v>
      </c>
      <c r="W127">
        <v>142</v>
      </c>
      <c r="X127">
        <v>155</v>
      </c>
      <c r="Y127">
        <v>168</v>
      </c>
      <c r="Z127">
        <v>181</v>
      </c>
      <c r="AA127">
        <v>194</v>
      </c>
      <c r="AB127">
        <v>20</v>
      </c>
      <c r="AC127">
        <v>33</v>
      </c>
      <c r="AD127">
        <v>46</v>
      </c>
      <c r="AE127">
        <v>59</v>
      </c>
      <c r="AF127">
        <v>72</v>
      </c>
      <c r="AG127">
        <v>85</v>
      </c>
      <c r="AH127">
        <v>18</v>
      </c>
      <c r="AI127">
        <v>14</v>
      </c>
      <c r="AJ127">
        <v>27</v>
      </c>
      <c r="AK127">
        <v>40</v>
      </c>
      <c r="AL127">
        <v>53</v>
      </c>
      <c r="AM127">
        <v>66</v>
      </c>
      <c r="AN127">
        <v>79</v>
      </c>
      <c r="AO127">
        <v>12</v>
      </c>
      <c r="AP127">
        <v>25</v>
      </c>
      <c r="AQ127">
        <v>21</v>
      </c>
      <c r="AR127">
        <f>SUM(AR128:AR133)</f>
        <v>0</v>
      </c>
      <c r="AS127">
        <f>SUM(AS128:AS133)</f>
        <v>0</v>
      </c>
      <c r="AT127">
        <f>SUM(AT128:AT133)</f>
        <v>0</v>
      </c>
      <c r="AU127">
        <f>SUM(AU128:AU133)</f>
        <v>0</v>
      </c>
    </row>
    <row r="128">
      <c r="C128" t="str">
        <v>官网</v>
      </c>
      <c r="D128" t="str">
        <v>#</v>
      </c>
      <c r="Q128">
        <v>88</v>
      </c>
      <c r="R128">
        <v>21</v>
      </c>
      <c r="S128">
        <v>17</v>
      </c>
      <c r="T128">
        <v>30</v>
      </c>
      <c r="U128">
        <v>43</v>
      </c>
      <c r="V128">
        <v>56</v>
      </c>
      <c r="W128">
        <v>69</v>
      </c>
      <c r="X128">
        <v>82</v>
      </c>
      <c r="Y128">
        <v>15</v>
      </c>
      <c r="Z128">
        <v>11</v>
      </c>
      <c r="AA128">
        <v>24</v>
      </c>
      <c r="AB128">
        <v>37</v>
      </c>
      <c r="AC128">
        <v>50</v>
      </c>
      <c r="AD128">
        <v>63</v>
      </c>
      <c r="AE128">
        <v>76</v>
      </c>
      <c r="AF128">
        <v>89</v>
      </c>
      <c r="AG128">
        <v>22</v>
      </c>
      <c r="AH128">
        <v>18</v>
      </c>
      <c r="AI128">
        <v>31</v>
      </c>
      <c r="AJ128">
        <v>44</v>
      </c>
      <c r="AK128">
        <v>57</v>
      </c>
      <c r="AL128">
        <v>70</v>
      </c>
      <c r="AM128">
        <v>83</v>
      </c>
      <c r="AN128">
        <v>16</v>
      </c>
      <c r="AO128">
        <v>12</v>
      </c>
      <c r="AP128">
        <v>25</v>
      </c>
      <c r="AQ128">
        <v>38</v>
      </c>
    </row>
    <row r="129">
      <c r="C129" t="str">
        <v>谷歌SEM</v>
      </c>
      <c r="D129" t="str">
        <v>#</v>
      </c>
      <c r="R129">
        <v>21</v>
      </c>
      <c r="S129">
        <v>34</v>
      </c>
      <c r="T129">
        <v>47</v>
      </c>
      <c r="U129">
        <v>60</v>
      </c>
      <c r="V129">
        <v>73</v>
      </c>
      <c r="W129">
        <v>86</v>
      </c>
      <c r="X129">
        <v>19</v>
      </c>
      <c r="Y129">
        <v>15</v>
      </c>
      <c r="Z129">
        <v>28</v>
      </c>
      <c r="AA129">
        <v>41</v>
      </c>
      <c r="AB129">
        <v>54</v>
      </c>
      <c r="AC129">
        <v>67</v>
      </c>
      <c r="AD129">
        <v>80</v>
      </c>
      <c r="AE129">
        <v>13</v>
      </c>
      <c r="AF129">
        <v>26</v>
      </c>
      <c r="AG129">
        <v>22</v>
      </c>
      <c r="AH129">
        <v>35</v>
      </c>
      <c r="AI129">
        <v>48</v>
      </c>
      <c r="AJ129">
        <v>61</v>
      </c>
      <c r="AK129">
        <v>74</v>
      </c>
      <c r="AM129">
        <v>20</v>
      </c>
      <c r="AN129">
        <v>16</v>
      </c>
      <c r="AP129">
        <v>42</v>
      </c>
    </row>
    <row r="130">
      <c r="C130" t="str">
        <v>验车网站</v>
      </c>
      <c r="D130" t="str">
        <v>#</v>
      </c>
      <c r="Q130">
        <v>25</v>
      </c>
      <c r="R130">
        <v>38</v>
      </c>
      <c r="S130">
        <v>51</v>
      </c>
      <c r="T130">
        <v>64</v>
      </c>
      <c r="U130">
        <v>77</v>
      </c>
      <c r="V130">
        <v>10</v>
      </c>
      <c r="W130">
        <v>23</v>
      </c>
      <c r="X130">
        <v>19</v>
      </c>
      <c r="Y130">
        <v>32</v>
      </c>
      <c r="Z130">
        <v>45</v>
      </c>
      <c r="AA130">
        <v>58</v>
      </c>
      <c r="AB130">
        <v>71</v>
      </c>
      <c r="AC130">
        <v>84</v>
      </c>
      <c r="AD130">
        <v>17</v>
      </c>
      <c r="AE130">
        <v>13</v>
      </c>
      <c r="AF130">
        <v>26</v>
      </c>
      <c r="AG130">
        <v>39</v>
      </c>
      <c r="AH130">
        <v>52</v>
      </c>
      <c r="AI130">
        <v>65</v>
      </c>
      <c r="AJ130">
        <v>78</v>
      </c>
      <c r="AK130">
        <v>11</v>
      </c>
      <c r="AL130">
        <v>24</v>
      </c>
      <c r="AM130">
        <v>20</v>
      </c>
      <c r="AO130">
        <v>46</v>
      </c>
      <c r="AQ130">
        <v>72</v>
      </c>
    </row>
    <row r="131">
      <c r="C131" t="str">
        <v>Facebook</v>
      </c>
      <c r="D131" t="str">
        <v>#</v>
      </c>
      <c r="AG131">
        <v>56</v>
      </c>
      <c r="AK131">
        <v>11</v>
      </c>
    </row>
    <row r="132">
      <c r="C132" t="str">
        <v>新田（25年11月及之后，如有）</v>
      </c>
      <c r="D132" t="str">
        <v>#</v>
      </c>
    </row>
    <row r="133">
      <c r="C133" t="str">
        <v>电邮</v>
      </c>
    </row>
    <row r="134">
      <c r="C134" t="str">
        <v xml:space="preserve"> - CTG channel</v>
      </c>
      <c r="D134" t="str">
        <v>#</v>
      </c>
      <c r="F134">
        <v>137</v>
      </c>
      <c r="H134">
        <v>163</v>
      </c>
      <c r="J134">
        <v>189</v>
      </c>
      <c r="K134">
        <v>105</v>
      </c>
      <c r="O134">
        <v>67</v>
      </c>
      <c r="P134">
        <v>80</v>
      </c>
      <c r="Q134">
        <v>183</v>
      </c>
      <c r="R134">
        <v>196</v>
      </c>
      <c r="S134">
        <v>112</v>
      </c>
      <c r="T134">
        <v>125</v>
      </c>
      <c r="U134">
        <v>138</v>
      </c>
      <c r="V134">
        <v>151</v>
      </c>
      <c r="W134">
        <v>164</v>
      </c>
      <c r="X134">
        <v>177</v>
      </c>
      <c r="Y134">
        <v>190</v>
      </c>
      <c r="Z134">
        <v>106</v>
      </c>
      <c r="AA134">
        <v>119</v>
      </c>
      <c r="AB134">
        <v>132</v>
      </c>
      <c r="AC134">
        <v>145</v>
      </c>
      <c r="AD134">
        <v>158</v>
      </c>
      <c r="AE134">
        <v>81</v>
      </c>
      <c r="AF134">
        <v>184</v>
      </c>
      <c r="AG134">
        <v>10</v>
      </c>
      <c r="AH134">
        <v>113</v>
      </c>
      <c r="AI134">
        <v>126</v>
      </c>
      <c r="AJ134">
        <v>139</v>
      </c>
      <c r="AK134">
        <v>152</v>
      </c>
      <c r="AL134">
        <v>165</v>
      </c>
      <c r="AM134">
        <v>178</v>
      </c>
      <c r="AN134">
        <v>191</v>
      </c>
      <c r="AO134">
        <v>107</v>
      </c>
      <c r="AP134">
        <v>120</v>
      </c>
      <c r="AQ134">
        <v>133</v>
      </c>
      <c r="AR134">
        <f>SUM(AR135:AR136)</f>
        <v>0</v>
      </c>
      <c r="AS134">
        <f>SUM(AS135:AS136)</f>
        <v>0</v>
      </c>
      <c r="AT134">
        <f>SUM(AT135:AT136)</f>
        <v>0</v>
      </c>
      <c r="AU134">
        <f>SUM(AU135:AU136)</f>
        <v>0</v>
      </c>
      <c r="AV134">
        <f>SUM(AV135:AV136)</f>
        <v>0</v>
      </c>
    </row>
    <row r="135">
      <c r="C135" t="str">
        <v>天水围</v>
      </c>
      <c r="D135" t="str">
        <v>#</v>
      </c>
      <c r="Q135">
        <v>103</v>
      </c>
      <c r="R135">
        <v>116</v>
      </c>
      <c r="S135">
        <v>129</v>
      </c>
      <c r="T135">
        <v>142</v>
      </c>
      <c r="U135">
        <v>155</v>
      </c>
      <c r="V135">
        <v>168</v>
      </c>
      <c r="W135">
        <v>181</v>
      </c>
      <c r="X135">
        <v>194</v>
      </c>
      <c r="Y135">
        <v>110</v>
      </c>
      <c r="Z135">
        <v>123</v>
      </c>
      <c r="AA135">
        <v>136</v>
      </c>
      <c r="AB135">
        <v>149</v>
      </c>
      <c r="AC135">
        <v>162</v>
      </c>
      <c r="AD135">
        <v>175</v>
      </c>
      <c r="AE135">
        <v>18</v>
      </c>
      <c r="AF135">
        <v>104</v>
      </c>
      <c r="AG135">
        <v>27</v>
      </c>
      <c r="AH135">
        <v>130</v>
      </c>
      <c r="AI135">
        <v>143</v>
      </c>
      <c r="AJ135">
        <v>156</v>
      </c>
      <c r="AK135">
        <v>169</v>
      </c>
      <c r="AL135">
        <v>182</v>
      </c>
      <c r="AM135">
        <v>195</v>
      </c>
      <c r="AN135">
        <v>111</v>
      </c>
      <c r="AO135">
        <v>124</v>
      </c>
      <c r="AP135">
        <v>137</v>
      </c>
      <c r="AQ135">
        <v>150</v>
      </c>
    </row>
    <row r="136">
      <c r="C136" t="str">
        <v>新田（25年10月及之前）</v>
      </c>
      <c r="D136" t="str">
        <v>#</v>
      </c>
      <c r="Q136">
        <v>30</v>
      </c>
      <c r="R136">
        <v>43</v>
      </c>
      <c r="S136">
        <v>56</v>
      </c>
      <c r="T136">
        <v>69</v>
      </c>
      <c r="U136">
        <v>82</v>
      </c>
      <c r="V136">
        <v>15</v>
      </c>
      <c r="W136">
        <v>11</v>
      </c>
      <c r="X136">
        <v>24</v>
      </c>
      <c r="Y136">
        <v>37</v>
      </c>
      <c r="Z136">
        <v>50</v>
      </c>
      <c r="AA136">
        <v>63</v>
      </c>
      <c r="AB136">
        <v>76</v>
      </c>
      <c r="AD136">
        <v>22</v>
      </c>
    </row>
    <row r="137">
      <c r="C137" t="str">
        <v xml:space="preserve">    -- Offline</v>
      </c>
      <c r="D137" t="str">
        <v>#</v>
      </c>
      <c r="F137">
        <f>H137</f>
        <v>0</v>
      </c>
      <c r="H137">
        <f>SUM(Y137:Z137)</f>
        <v>0</v>
      </c>
      <c r="J137">
        <v>143</v>
      </c>
      <c r="O137">
        <v>21</v>
      </c>
      <c r="P137">
        <v>34</v>
      </c>
      <c r="Q137">
        <v>47</v>
      </c>
      <c r="R137">
        <v>150</v>
      </c>
      <c r="S137">
        <v>163</v>
      </c>
      <c r="T137">
        <v>176</v>
      </c>
      <c r="U137">
        <v>189</v>
      </c>
      <c r="V137">
        <v>105</v>
      </c>
      <c r="W137">
        <v>118</v>
      </c>
      <c r="X137" t="str">
        <v>N/A</v>
      </c>
      <c r="AB137">
        <v>183</v>
      </c>
      <c r="AC137">
        <v>196</v>
      </c>
      <c r="AD137">
        <v>112</v>
      </c>
    </row>
    <row r="138">
      <c r="C138" t="str">
        <v>等效先认产品</v>
      </c>
      <c r="D138" t="str">
        <v>#</v>
      </c>
      <c r="T138">
        <f>T139+T146</f>
        <v>0</v>
      </c>
      <c r="U138">
        <f>U139+U146</f>
        <v>0</v>
      </c>
      <c r="V138">
        <f>V139+V146</f>
        <v>0</v>
      </c>
      <c r="W138">
        <f>W139+W146</f>
        <v>0</v>
      </c>
      <c r="X138">
        <f>X139+X146</f>
        <v>0</v>
      </c>
      <c r="Y138">
        <f>Y139+Y146</f>
        <v>0</v>
      </c>
      <c r="Z138">
        <f>Z139+Z146</f>
        <v>0</v>
      </c>
      <c r="AA138">
        <f>AA139+AA146</f>
        <v>0</v>
      </c>
      <c r="AB138">
        <f>AB139+AB146</f>
        <v>0</v>
      </c>
      <c r="AC138">
        <f>AC139+AC146</f>
        <v>0</v>
      </c>
      <c r="AD138">
        <f>AD139+AD146</f>
        <v>0</v>
      </c>
      <c r="AE138">
        <f>AE139+AE146</f>
        <v>0</v>
      </c>
      <c r="AF138">
        <f>AF139+AF146</f>
        <v>0</v>
      </c>
      <c r="AG138">
        <f>AG139+AG146</f>
        <v>0</v>
      </c>
      <c r="AH138">
        <f>AH139+AH146</f>
        <v>0</v>
      </c>
      <c r="AI138">
        <f>AI139+AI146</f>
        <v>0</v>
      </c>
      <c r="AJ138">
        <f>AJ139+AJ146</f>
        <v>0</v>
      </c>
      <c r="AK138">
        <v>33</v>
      </c>
      <c r="AL138">
        <v>46</v>
      </c>
      <c r="AM138">
        <v>59</v>
      </c>
      <c r="AN138">
        <v>162</v>
      </c>
      <c r="AO138">
        <v>175</v>
      </c>
      <c r="AP138">
        <v>188</v>
      </c>
      <c r="AQ138">
        <v>104</v>
      </c>
      <c r="AR138">
        <f>AR139+AR146</f>
        <v>0</v>
      </c>
      <c r="AS138">
        <f>AS139+AS146</f>
        <v>0</v>
      </c>
      <c r="AT138">
        <f>AT139+AT146</f>
        <v>0</v>
      </c>
      <c r="AU138">
        <f>AU139+AU146</f>
        <v>0</v>
      </c>
    </row>
    <row r="139">
      <c r="C139" t="str">
        <v xml:space="preserve"> - Online channel</v>
      </c>
      <c r="D139" t="str">
        <v>#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50</v>
      </c>
      <c r="AL139">
        <v>63</v>
      </c>
      <c r="AM139">
        <v>76</v>
      </c>
      <c r="AN139">
        <v>89</v>
      </c>
      <c r="AO139">
        <v>22</v>
      </c>
      <c r="AP139">
        <v>18</v>
      </c>
      <c r="AQ139">
        <v>31</v>
      </c>
      <c r="AR139">
        <f>SUM(AR140:AR145)</f>
        <v>0</v>
      </c>
      <c r="AS139">
        <f>SUM(AS140:AS145)</f>
        <v>0</v>
      </c>
      <c r="AT139">
        <f>SUM(AT140:AT145)</f>
        <v>0</v>
      </c>
      <c r="AU139">
        <f>SUM(AU140:AU145)</f>
        <v>0</v>
      </c>
    </row>
    <row r="140">
      <c r="C140" t="str">
        <v>官网</v>
      </c>
      <c r="D140" t="str">
        <v>#</v>
      </c>
      <c r="AK140">
        <v>67</v>
      </c>
      <c r="AL140">
        <v>80</v>
      </c>
      <c r="AM140">
        <v>13</v>
      </c>
      <c r="AO140">
        <v>22</v>
      </c>
      <c r="AP140">
        <v>35</v>
      </c>
      <c r="AQ140">
        <v>48</v>
      </c>
    </row>
    <row r="141">
      <c r="C141" t="str">
        <v>谷歌SEM</v>
      </c>
      <c r="D141" t="str">
        <v>#</v>
      </c>
      <c r="AM141">
        <v>13</v>
      </c>
      <c r="AN141">
        <v>26</v>
      </c>
      <c r="AO141">
        <v>39</v>
      </c>
      <c r="AP141">
        <v>52</v>
      </c>
      <c r="AQ141">
        <v>65</v>
      </c>
    </row>
    <row r="142">
      <c r="C142" t="str">
        <v>验车网站</v>
      </c>
      <c r="D142" t="str">
        <v>#</v>
      </c>
      <c r="AN142">
        <v>43</v>
      </c>
      <c r="AO142">
        <v>56</v>
      </c>
      <c r="AP142">
        <v>69</v>
      </c>
      <c r="AQ142">
        <v>82</v>
      </c>
    </row>
    <row r="143">
      <c r="C143" t="str">
        <v>Facebook</v>
      </c>
      <c r="D143" t="str">
        <v>#</v>
      </c>
    </row>
    <row r="144">
      <c r="C144" t="str">
        <v>新田（25年11月及之后，如有）</v>
      </c>
      <c r="D144" t="str">
        <v>#</v>
      </c>
      <c r="AL144">
        <v>51</v>
      </c>
    </row>
    <row r="145">
      <c r="C145" t="str">
        <v>电邮</v>
      </c>
      <c r="AN145">
        <v>14</v>
      </c>
      <c r="AQ145">
        <v>36</v>
      </c>
    </row>
    <row r="146">
      <c r="C146" t="str">
        <v xml:space="preserve"> - CTG channel</v>
      </c>
      <c r="D146" t="str">
        <v>#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72</v>
      </c>
      <c r="AL146">
        <v>85</v>
      </c>
      <c r="AM146">
        <v>18</v>
      </c>
      <c r="AN146">
        <v>14</v>
      </c>
      <c r="AO146">
        <v>117</v>
      </c>
      <c r="AP146">
        <v>130</v>
      </c>
      <c r="AQ146">
        <v>143</v>
      </c>
      <c r="AR146">
        <f>SUM(AR147:AR148)</f>
        <v>0</v>
      </c>
      <c r="AS146">
        <f>SUM(AS147:AS148)</f>
        <v>0</v>
      </c>
      <c r="AT146">
        <f>SUM(AT147:AT148)</f>
        <v>0</v>
      </c>
      <c r="AU146">
        <f>SUM(AU147:AU148)</f>
        <v>0</v>
      </c>
      <c r="AV146">
        <f>SUM(AV147:AV148)</f>
        <v>0</v>
      </c>
    </row>
    <row r="147">
      <c r="C147" t="str">
        <v>天水围</v>
      </c>
      <c r="D147" t="str">
        <v>#</v>
      </c>
      <c r="AK147">
        <v>89</v>
      </c>
      <c r="AL147">
        <v>22</v>
      </c>
      <c r="AM147">
        <v>18</v>
      </c>
      <c r="AN147">
        <v>31</v>
      </c>
      <c r="AO147">
        <v>134</v>
      </c>
      <c r="AP147">
        <v>147</v>
      </c>
      <c r="AQ147">
        <v>160</v>
      </c>
    </row>
    <row r="148">
      <c r="C148" t="str">
        <v>新田（25年10月及之前）</v>
      </c>
      <c r="D148" t="str">
        <v>#</v>
      </c>
    </row>
    <row r="149">
      <c r="C149" t="str">
        <v>等效先認Online</v>
      </c>
      <c r="D149" t="str">
        <v>#</v>
      </c>
      <c r="AK149">
        <v>26</v>
      </c>
      <c r="AL149">
        <v>39</v>
      </c>
    </row>
    <row r="150">
      <c r="C150" t="str">
        <v>等效先認Offline</v>
      </c>
      <c r="D150" t="str">
        <v>#</v>
      </c>
      <c r="AK150">
        <v>43</v>
      </c>
      <c r="AL150">
        <v>56</v>
      </c>
    </row>
    <row r="151">
      <c r="C151" t="str">
        <v>一站式Online</v>
      </c>
      <c r="D151" t="str">
        <v>#</v>
      </c>
      <c r="AK151">
        <v>60</v>
      </c>
      <c r="AL151">
        <v>73</v>
      </c>
    </row>
    <row r="152">
      <c r="C152" t="str">
        <v>一站式Offline</v>
      </c>
      <c r="D152" t="str">
        <v>#</v>
      </c>
      <c r="AK152">
        <v>167</v>
      </c>
      <c r="AL152">
        <v>180</v>
      </c>
    </row>
    <row r="153">
      <c r="C153" t="str">
        <v>等效先認Taiping Redirect</v>
      </c>
      <c r="D153" t="str">
        <v>#</v>
      </c>
      <c r="AF153">
        <v>29</v>
      </c>
      <c r="AG153">
        <v>42</v>
      </c>
      <c r="AH153">
        <v>55</v>
      </c>
      <c r="AI153">
        <v>68</v>
      </c>
      <c r="AJ153">
        <v>81</v>
      </c>
      <c r="AK153">
        <v>14</v>
      </c>
      <c r="AL153">
        <v>0</v>
      </c>
    </row>
    <row r="154">
      <c r="C154" t="str">
        <v>Taiping Renewal</v>
      </c>
      <c r="D154" t="str">
        <v>#</v>
      </c>
      <c r="V154">
        <v>13</v>
      </c>
      <c r="W154">
        <v>26</v>
      </c>
      <c r="X154">
        <v>39</v>
      </c>
      <c r="Y154">
        <v>52</v>
      </c>
      <c r="Z154">
        <v>65</v>
      </c>
      <c r="AA154">
        <v>78</v>
      </c>
      <c r="AB154">
        <v>11</v>
      </c>
      <c r="AC154">
        <v>24</v>
      </c>
      <c r="AD154">
        <v>20</v>
      </c>
      <c r="AE154">
        <v>33</v>
      </c>
      <c r="AF154">
        <v>46</v>
      </c>
      <c r="AG154">
        <v>59</v>
      </c>
      <c r="AH154">
        <v>72</v>
      </c>
      <c r="AI154">
        <v>85</v>
      </c>
      <c r="AJ154">
        <v>18</v>
      </c>
      <c r="AK154">
        <v>14</v>
      </c>
      <c r="AL154">
        <v>27</v>
      </c>
      <c r="AM154">
        <v>40</v>
      </c>
      <c r="AN154">
        <v>53</v>
      </c>
      <c r="AO154">
        <v>66</v>
      </c>
      <c r="AP154">
        <v>79</v>
      </c>
      <c r="AQ154">
        <v>12</v>
      </c>
      <c r="AR154">
        <f>INT(AR66/AR158)</f>
        <v>0</v>
      </c>
      <c r="AS154">
        <f>INT(AS66/AS158)</f>
        <v>0</v>
      </c>
      <c r="AT154">
        <f>INT(AT66/AT158)</f>
        <v>0</v>
      </c>
      <c r="AU154">
        <f>INT(AU66/AU158)</f>
        <v>0</v>
      </c>
      <c r="AV154">
        <f>INT(AV66/AV158)</f>
        <v>0</v>
      </c>
    </row>
    <row r="155">
      <c r="C155" t="str">
        <v>PICC Renewal Application</v>
      </c>
      <c r="D155" t="str">
        <v>#</v>
      </c>
      <c r="AB155">
        <v>11</v>
      </c>
      <c r="AC155">
        <v>114</v>
      </c>
      <c r="AD155">
        <v>127</v>
      </c>
      <c r="AE155">
        <v>140</v>
      </c>
      <c r="AF155">
        <v>153</v>
      </c>
    </row>
    <row r="156">
      <c r="C156" t="str">
        <v>PICC Renewal</v>
      </c>
      <c r="D156" t="str">
        <v>#</v>
      </c>
      <c r="AB156">
        <v>28</v>
      </c>
      <c r="AC156">
        <v>131</v>
      </c>
      <c r="AD156">
        <v>144</v>
      </c>
      <c r="AE156">
        <v>157</v>
      </c>
      <c r="AF156">
        <v>170</v>
      </c>
      <c r="AG156">
        <v>183</v>
      </c>
      <c r="AH156">
        <v>196</v>
      </c>
      <c r="AI156">
        <v>112</v>
      </c>
      <c r="AJ156">
        <v>125</v>
      </c>
      <c r="AK156">
        <v>138</v>
      </c>
      <c r="AL156">
        <v>61</v>
      </c>
      <c r="AM156">
        <v>164</v>
      </c>
      <c r="AN156">
        <v>177</v>
      </c>
      <c r="AO156">
        <v>190</v>
      </c>
      <c r="AP156">
        <v>106</v>
      </c>
      <c r="AQ156">
        <v>119</v>
      </c>
      <c r="AR156">
        <f>INT(AR67/AR159)</f>
        <v>0</v>
      </c>
      <c r="AS156">
        <f>INT(AS67/AS159)</f>
        <v>0</v>
      </c>
      <c r="AT156">
        <f>INT(AT67/AT159)</f>
        <v>0</v>
      </c>
      <c r="AU156">
        <f>INT(AU67/AU159)</f>
        <v>0</v>
      </c>
      <c r="AV156">
        <f>INT(AV67/AV159)</f>
        <v>0</v>
      </c>
    </row>
    <row r="157">
      <c r="C157" t="str">
        <v>NB-Adjusted</v>
      </c>
      <c r="P157">
        <v>83</v>
      </c>
      <c r="Q157">
        <v>186</v>
      </c>
      <c r="R157">
        <v>102</v>
      </c>
      <c r="S157">
        <v>115</v>
      </c>
      <c r="T157">
        <v>128</v>
      </c>
      <c r="U157">
        <v>141</v>
      </c>
      <c r="V157">
        <v>154</v>
      </c>
      <c r="W157">
        <v>167</v>
      </c>
      <c r="X157">
        <v>180</v>
      </c>
      <c r="Y157">
        <v>193</v>
      </c>
      <c r="Z157">
        <v>109</v>
      </c>
      <c r="AA157">
        <v>122</v>
      </c>
      <c r="AB157">
        <v>135</v>
      </c>
      <c r="AC157">
        <v>148</v>
      </c>
      <c r="AD157">
        <v>161</v>
      </c>
      <c r="AE157">
        <v>174</v>
      </c>
      <c r="AF157">
        <v>187</v>
      </c>
      <c r="AG157">
        <v>103</v>
      </c>
      <c r="AH157">
        <v>116</v>
      </c>
      <c r="AI157">
        <v>129</v>
      </c>
    </row>
    <row r="158">
      <c r="C158" t="str">
        <v>NB%</v>
      </c>
      <c r="P158">
        <v>20</v>
      </c>
      <c r="Q158">
        <v>16</v>
      </c>
      <c r="R158">
        <v>29</v>
      </c>
      <c r="S158">
        <v>42</v>
      </c>
      <c r="T158">
        <v>55</v>
      </c>
      <c r="U158">
        <v>68</v>
      </c>
      <c r="V158">
        <v>0.16</v>
      </c>
      <c r="W158">
        <v>0.09</v>
      </c>
      <c r="X158">
        <v>0.05</v>
      </c>
      <c r="Y158">
        <v>0.18</v>
      </c>
      <c r="Z158">
        <v>0.11</v>
      </c>
      <c r="AA158">
        <v>0.24</v>
      </c>
      <c r="AB158">
        <v>0.17</v>
      </c>
      <c r="AC158">
        <v>0.1</v>
      </c>
      <c r="AD158">
        <v>0.23</v>
      </c>
      <c r="AE158">
        <v>0.16</v>
      </c>
      <c r="AF158">
        <v>0.12</v>
      </c>
      <c r="AG158">
        <v>0.05</v>
      </c>
      <c r="AH158">
        <v>0.18</v>
      </c>
      <c r="AI158">
        <v>0.11</v>
      </c>
      <c r="AJ158" t="e">
        <f>AJ157/(AJ157+AJ159)</f>
        <v>#DIV/0!</v>
      </c>
      <c r="AK158">
        <v>172</v>
      </c>
      <c r="AL158">
        <v>185</v>
      </c>
      <c r="AM158">
        <v>101</v>
      </c>
      <c r="AN158">
        <v>114</v>
      </c>
      <c r="AO158">
        <v>127</v>
      </c>
      <c r="AP158">
        <v>140</v>
      </c>
      <c r="AQ158">
        <v>153</v>
      </c>
      <c r="AR158">
        <v>166</v>
      </c>
      <c r="AS158">
        <v>179</v>
      </c>
      <c r="AT158">
        <v>192</v>
      </c>
      <c r="AU158">
        <v>108</v>
      </c>
      <c r="AV158">
        <v>121</v>
      </c>
    </row>
    <row r="159">
      <c r="C159" t="str">
        <v>Renewal ( Adjusted</v>
      </c>
      <c r="V159">
        <v>18</v>
      </c>
      <c r="W159">
        <v>14</v>
      </c>
      <c r="X159">
        <v>27</v>
      </c>
      <c r="Y159">
        <v>40</v>
      </c>
      <c r="Z159">
        <v>53</v>
      </c>
      <c r="AA159">
        <v>66</v>
      </c>
      <c r="AB159">
        <v>169</v>
      </c>
      <c r="AC159">
        <v>182</v>
      </c>
      <c r="AD159">
        <v>195</v>
      </c>
      <c r="AE159">
        <v>111</v>
      </c>
      <c r="AF159">
        <v>124</v>
      </c>
      <c r="AG159">
        <v>137</v>
      </c>
      <c r="AH159">
        <v>150</v>
      </c>
      <c r="AI159">
        <v>163</v>
      </c>
      <c r="AJ159">
        <f>SUM(AJ160:AJ163)</f>
        <v>0</v>
      </c>
      <c r="AK159">
        <v>189</v>
      </c>
      <c r="AL159">
        <v>105</v>
      </c>
      <c r="AM159">
        <v>118</v>
      </c>
      <c r="AN159">
        <v>131</v>
      </c>
      <c r="AO159">
        <v>144</v>
      </c>
      <c r="AP159">
        <v>157</v>
      </c>
      <c r="AQ159">
        <v>170</v>
      </c>
      <c r="AR159">
        <v>183</v>
      </c>
      <c r="AS159">
        <v>196</v>
      </c>
      <c r="AT159">
        <v>112</v>
      </c>
      <c r="AU159">
        <v>125</v>
      </c>
      <c r="AV159">
        <v>138</v>
      </c>
    </row>
    <row r="160">
      <c r="C160" t="str">
        <v>taiping-taiping</v>
      </c>
      <c r="V160">
        <v>18</v>
      </c>
      <c r="W160">
        <v>31</v>
      </c>
      <c r="X160">
        <v>44</v>
      </c>
      <c r="Y160">
        <v>57</v>
      </c>
      <c r="Z160">
        <v>70</v>
      </c>
      <c r="AA160">
        <v>83</v>
      </c>
      <c r="AB160">
        <v>16</v>
      </c>
      <c r="AC160">
        <v>12</v>
      </c>
      <c r="AD160">
        <v>25</v>
      </c>
      <c r="AE160">
        <v>38</v>
      </c>
      <c r="AF160">
        <v>51</v>
      </c>
      <c r="AG160">
        <v>64</v>
      </c>
      <c r="AH160">
        <v>77</v>
      </c>
      <c r="AI160">
        <v>10</v>
      </c>
    </row>
    <row r="161">
      <c r="C161" t="str">
        <v>picc-picc</v>
      </c>
      <c r="AA161">
        <v>20</v>
      </c>
      <c r="AB161">
        <v>16</v>
      </c>
      <c r="AC161">
        <v>119</v>
      </c>
      <c r="AD161">
        <v>132</v>
      </c>
      <c r="AE161">
        <v>145</v>
      </c>
      <c r="AF161">
        <v>158</v>
      </c>
      <c r="AG161">
        <v>171</v>
      </c>
      <c r="AH161">
        <v>184</v>
      </c>
      <c r="AI161">
        <v>100</v>
      </c>
    </row>
    <row r="162">
      <c r="C162" t="str">
        <v>taiping-picc</v>
      </c>
      <c r="Y162">
        <v>11</v>
      </c>
      <c r="Z162">
        <v>24</v>
      </c>
      <c r="AA162">
        <v>20</v>
      </c>
      <c r="AB162">
        <v>33</v>
      </c>
      <c r="AC162">
        <v>46</v>
      </c>
      <c r="AD162">
        <v>59</v>
      </c>
      <c r="AE162">
        <v>72</v>
      </c>
      <c r="AF162">
        <v>85</v>
      </c>
      <c r="AG162">
        <v>0</v>
      </c>
      <c r="AH162">
        <v>14</v>
      </c>
      <c r="AI162">
        <v>0</v>
      </c>
    </row>
    <row r="163">
      <c r="C163" t="str">
        <v>picc-taiping</v>
      </c>
      <c r="AC163">
        <v>63</v>
      </c>
      <c r="AD163">
        <v>76</v>
      </c>
      <c r="AE163">
        <v>89</v>
      </c>
      <c r="AF163">
        <v>22</v>
      </c>
      <c r="AG163">
        <v>18</v>
      </c>
      <c r="AH163">
        <v>31</v>
      </c>
      <c r="AI163">
        <v>0</v>
      </c>
    </row>
    <row r="164">
      <c r="C164" t="str">
        <v>RN%</v>
      </c>
      <c r="P164">
        <f>P159/(P157+P159)</f>
        <v>0</v>
      </c>
      <c r="Q164">
        <f>Q159/(Q157+Q159)</f>
        <v>0</v>
      </c>
      <c r="R164">
        <f>R159/(R157+R159)</f>
        <v>0</v>
      </c>
      <c r="S164">
        <f>S159/(S157+S159)</f>
        <v>0</v>
      </c>
      <c r="T164">
        <f>T159/(T157+T159)</f>
        <v>0</v>
      </c>
      <c r="U164">
        <f>U159/(U157+U159)</f>
        <v>0</v>
      </c>
      <c r="V164">
        <v>0.21</v>
      </c>
      <c r="W164">
        <v>0.14</v>
      </c>
      <c r="X164">
        <v>0.1</v>
      </c>
      <c r="Y164">
        <v>0.23</v>
      </c>
      <c r="Z164">
        <v>0.16</v>
      </c>
      <c r="AA164">
        <v>0.09</v>
      </c>
      <c r="AB164">
        <v>0.22</v>
      </c>
      <c r="AC164">
        <v>0.15</v>
      </c>
      <c r="AD164">
        <v>0.08</v>
      </c>
      <c r="AE164">
        <v>0.21</v>
      </c>
      <c r="AF164">
        <v>0.17</v>
      </c>
      <c r="AG164">
        <v>0.1</v>
      </c>
      <c r="AH164">
        <v>0.23</v>
      </c>
      <c r="AI164">
        <v>0.16</v>
      </c>
      <c r="AJ164" t="e">
        <f>AJ159/(AJ157+AJ159)</f>
        <v>#DIV/0!</v>
      </c>
    </row>
    <row r="165">
      <c r="C165" t="str">
        <v>RN through NB</v>
      </c>
      <c r="Y165">
        <v>45</v>
      </c>
      <c r="Z165">
        <v>58</v>
      </c>
      <c r="AA165">
        <v>71</v>
      </c>
      <c r="AB165">
        <v>84</v>
      </c>
      <c r="AC165">
        <v>17</v>
      </c>
      <c r="AD165">
        <v>13</v>
      </c>
      <c r="AE165">
        <v>26</v>
      </c>
      <c r="AF165">
        <v>39</v>
      </c>
      <c r="AG165">
        <v>52</v>
      </c>
      <c r="AH165">
        <v>65</v>
      </c>
      <c r="AI165">
        <v>78</v>
      </c>
    </row>
    <row r="166">
      <c r="C166" t="str">
        <v>RN through RN</v>
      </c>
    </row>
    <row r="167">
      <c r="AL167">
        <v>144</v>
      </c>
    </row>
    <row r="168">
      <c r="P168">
        <v>76</v>
      </c>
      <c r="Q168">
        <v>89</v>
      </c>
      <c r="R168">
        <v>22</v>
      </c>
      <c r="S168">
        <v>18</v>
      </c>
      <c r="T168">
        <v>31</v>
      </c>
      <c r="U168">
        <v>44</v>
      </c>
      <c r="V168">
        <v>0.12</v>
      </c>
      <c r="W168">
        <v>0.05</v>
      </c>
      <c r="X168">
        <v>0.18</v>
      </c>
      <c r="Y168">
        <v>0.11</v>
      </c>
      <c r="Z168">
        <v>0.07</v>
      </c>
      <c r="AA168">
        <v>0.2</v>
      </c>
      <c r="AB168">
        <v>0.13</v>
      </c>
      <c r="AC168">
        <v>0.06</v>
      </c>
      <c r="AD168">
        <v>0.19</v>
      </c>
      <c r="AE168">
        <v>0.12</v>
      </c>
      <c r="AF168">
        <v>0.05</v>
      </c>
      <c r="AL168">
        <v>161</v>
      </c>
    </row>
    <row r="169">
      <c r="H169">
        <v>0.21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0.09</v>
      </c>
      <c r="W169">
        <v>0.22</v>
      </c>
      <c r="X169">
        <v>0.15</v>
      </c>
      <c r="Y169">
        <v>0.11</v>
      </c>
      <c r="Z169">
        <v>0.24</v>
      </c>
      <c r="AA169">
        <v>0.17</v>
      </c>
      <c r="AB169">
        <v>0.1</v>
      </c>
      <c r="AC169">
        <v>0.23</v>
      </c>
      <c r="AD169">
        <v>0.16</v>
      </c>
      <c r="AE169">
        <v>0.09</v>
      </c>
      <c r="AF169">
        <v>0.05</v>
      </c>
    </row>
    <row r="171">
      <c r="C171" t="str">
        <v>Product Type-Overall</v>
      </c>
      <c r="M171">
        <v>178</v>
      </c>
      <c r="N171">
        <v>191</v>
      </c>
      <c r="O171">
        <v>107</v>
      </c>
      <c r="P171">
        <v>30</v>
      </c>
      <c r="Q171">
        <v>133</v>
      </c>
      <c r="R171">
        <v>146</v>
      </c>
      <c r="S171">
        <v>159</v>
      </c>
      <c r="T171">
        <v>172</v>
      </c>
      <c r="U171">
        <v>185</v>
      </c>
      <c r="V171">
        <v>101</v>
      </c>
      <c r="W171">
        <v>114</v>
      </c>
      <c r="X171">
        <v>127</v>
      </c>
      <c r="Y171">
        <v>140</v>
      </c>
      <c r="Z171">
        <v>153</v>
      </c>
      <c r="AA171">
        <v>166</v>
      </c>
      <c r="AB171">
        <v>179</v>
      </c>
      <c r="AC171">
        <v>192</v>
      </c>
      <c r="AD171">
        <v>108</v>
      </c>
      <c r="AE171">
        <v>121</v>
      </c>
      <c r="AF171">
        <v>134</v>
      </c>
      <c r="AG171">
        <v>147</v>
      </c>
      <c r="AH171">
        <v>160</v>
      </c>
      <c r="AI171">
        <v>173</v>
      </c>
      <c r="AJ171">
        <v>186</v>
      </c>
      <c r="AK171">
        <v>102</v>
      </c>
      <c r="AL171">
        <v>115</v>
      </c>
      <c r="AM171">
        <v>128</v>
      </c>
      <c r="AN171">
        <v>141</v>
      </c>
      <c r="AO171">
        <v>154</v>
      </c>
      <c r="AP171">
        <v>167</v>
      </c>
      <c r="AQ171">
        <v>180</v>
      </c>
    </row>
    <row r="172">
      <c r="C172" t="str">
        <v>交强险(旧一站式、一站式、等效先认)</v>
      </c>
      <c r="M172">
        <v>25</v>
      </c>
      <c r="N172">
        <v>21</v>
      </c>
      <c r="O172">
        <v>34</v>
      </c>
      <c r="P172">
        <v>47</v>
      </c>
      <c r="Q172">
        <v>60</v>
      </c>
      <c r="R172">
        <v>73</v>
      </c>
      <c r="S172">
        <v>86</v>
      </c>
      <c r="T172">
        <v>19</v>
      </c>
      <c r="U172">
        <v>15</v>
      </c>
      <c r="V172">
        <v>28</v>
      </c>
      <c r="W172">
        <v>41</v>
      </c>
      <c r="X172">
        <v>54</v>
      </c>
      <c r="Y172">
        <v>67</v>
      </c>
      <c r="Z172">
        <v>80</v>
      </c>
      <c r="AA172">
        <v>13</v>
      </c>
      <c r="AB172">
        <v>26</v>
      </c>
      <c r="AC172">
        <v>22</v>
      </c>
      <c r="AD172">
        <v>35</v>
      </c>
      <c r="AE172">
        <v>48</v>
      </c>
      <c r="AF172">
        <v>61</v>
      </c>
      <c r="AG172">
        <v>74</v>
      </c>
      <c r="AH172">
        <v>87</v>
      </c>
      <c r="AI172">
        <v>20</v>
      </c>
      <c r="AJ172">
        <v>16</v>
      </c>
      <c r="AK172">
        <v>29</v>
      </c>
      <c r="AL172">
        <v>42</v>
      </c>
      <c r="AM172">
        <v>55</v>
      </c>
      <c r="AN172">
        <v>68</v>
      </c>
      <c r="AO172">
        <v>81</v>
      </c>
      <c r="AP172">
        <v>14</v>
      </c>
      <c r="AQ172">
        <v>10</v>
      </c>
    </row>
    <row r="173">
      <c r="C173" t="str">
        <v>交强险、商业险¥150万(一站式)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</row>
    <row r="174">
      <c r="C174" t="str">
        <v>交强险、商业险¥150万、座位险¥3万(旧一站式、一站式)</v>
      </c>
      <c r="M174">
        <v>42</v>
      </c>
      <c r="N174">
        <v>55</v>
      </c>
      <c r="O174">
        <v>68</v>
      </c>
      <c r="P174">
        <v>81</v>
      </c>
      <c r="Q174">
        <v>184</v>
      </c>
      <c r="R174">
        <v>100</v>
      </c>
      <c r="S174">
        <v>113</v>
      </c>
      <c r="T174">
        <v>126</v>
      </c>
      <c r="U174">
        <v>139</v>
      </c>
      <c r="V174">
        <v>152</v>
      </c>
      <c r="W174">
        <v>165</v>
      </c>
      <c r="X174">
        <v>178</v>
      </c>
      <c r="Y174">
        <v>191</v>
      </c>
      <c r="Z174">
        <v>107</v>
      </c>
      <c r="AA174">
        <v>120</v>
      </c>
      <c r="AB174">
        <v>133</v>
      </c>
      <c r="AC174">
        <v>146</v>
      </c>
      <c r="AD174">
        <v>159</v>
      </c>
      <c r="AE174">
        <v>82</v>
      </c>
      <c r="AF174">
        <v>185</v>
      </c>
      <c r="AG174">
        <v>11</v>
      </c>
      <c r="AH174">
        <v>114</v>
      </c>
      <c r="AI174">
        <v>127</v>
      </c>
      <c r="AJ174">
        <v>140</v>
      </c>
      <c r="AK174">
        <v>63</v>
      </c>
      <c r="AL174">
        <v>76</v>
      </c>
      <c r="AM174">
        <v>89</v>
      </c>
      <c r="AN174">
        <v>22</v>
      </c>
      <c r="AO174">
        <v>18</v>
      </c>
      <c r="AP174">
        <v>31</v>
      </c>
      <c r="AQ174">
        <v>44</v>
      </c>
    </row>
    <row r="175">
      <c r="C175" t="str">
        <v>交强险、商业险¥150万、座位险¥5万(一站式)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</row>
    <row r="176">
      <c r="C176" t="str">
        <v>交强险、商业险¥150万、座位险¥10万(一站式)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</row>
    <row r="177">
      <c r="C177" t="str">
        <v>交强险、商业险¥200万(一站式)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</row>
    <row r="178">
      <c r="C178" t="str">
        <v>交强险、商业险¥200万、座位险¥3万(一站式)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34</v>
      </c>
      <c r="AL178">
        <v>47</v>
      </c>
      <c r="AM178">
        <v>60</v>
      </c>
      <c r="AN178">
        <v>73</v>
      </c>
      <c r="AO178">
        <v>86</v>
      </c>
      <c r="AP178">
        <v>19</v>
      </c>
      <c r="AQ178">
        <v>15</v>
      </c>
    </row>
    <row r="179">
      <c r="C179" t="str">
        <v>交强险、商业险¥200万、座位险¥5万(旧一站式、一站式)</v>
      </c>
      <c r="M179">
        <v>30</v>
      </c>
      <c r="N179">
        <v>43</v>
      </c>
      <c r="O179">
        <v>56</v>
      </c>
      <c r="P179">
        <v>69</v>
      </c>
      <c r="Q179">
        <v>172</v>
      </c>
      <c r="R179">
        <v>185</v>
      </c>
      <c r="S179">
        <v>101</v>
      </c>
      <c r="T179">
        <v>114</v>
      </c>
      <c r="U179">
        <v>127</v>
      </c>
      <c r="V179">
        <v>140</v>
      </c>
      <c r="W179">
        <v>153</v>
      </c>
      <c r="X179">
        <v>166</v>
      </c>
      <c r="Y179">
        <v>179</v>
      </c>
      <c r="Z179">
        <v>192</v>
      </c>
      <c r="AA179">
        <v>108</v>
      </c>
      <c r="AB179">
        <v>121</v>
      </c>
      <c r="AC179">
        <v>44</v>
      </c>
      <c r="AD179">
        <v>147</v>
      </c>
      <c r="AE179">
        <v>70</v>
      </c>
      <c r="AF179">
        <v>83</v>
      </c>
      <c r="AG179">
        <v>16</v>
      </c>
      <c r="AH179">
        <v>102</v>
      </c>
      <c r="AI179">
        <v>115</v>
      </c>
      <c r="AJ179">
        <v>128</v>
      </c>
      <c r="AK179">
        <v>141</v>
      </c>
      <c r="AL179">
        <v>154</v>
      </c>
      <c r="AM179">
        <v>167</v>
      </c>
      <c r="AN179">
        <v>10</v>
      </c>
      <c r="AO179">
        <v>23</v>
      </c>
      <c r="AP179">
        <v>19</v>
      </c>
      <c r="AQ179">
        <v>32</v>
      </c>
    </row>
    <row r="180">
      <c r="C180" t="str">
        <v>交强险、商业险¥200万、座位险¥10万(一站式)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</row>
    <row r="181">
      <c r="C181" t="str">
        <v>交强险、商业险¥300万(一站式)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</row>
    <row r="182">
      <c r="C182" t="str">
        <v>交强险、商业险¥300万、座位险¥1万 (等效先认)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22</v>
      </c>
      <c r="AL182">
        <v>18</v>
      </c>
      <c r="AM182">
        <v>121</v>
      </c>
      <c r="AN182">
        <v>134</v>
      </c>
      <c r="AO182">
        <v>147</v>
      </c>
      <c r="AP182">
        <v>160</v>
      </c>
      <c r="AQ182">
        <v>173</v>
      </c>
    </row>
    <row r="183">
      <c r="C183" t="str">
        <v>交强险、商业险¥300万、座位险¥3万 (一站式)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22</v>
      </c>
      <c r="AL183">
        <v>35</v>
      </c>
      <c r="AM183">
        <v>48</v>
      </c>
      <c r="AN183">
        <v>61</v>
      </c>
      <c r="AO183">
        <v>74</v>
      </c>
      <c r="AP183">
        <v>87</v>
      </c>
      <c r="AQ183">
        <v>20</v>
      </c>
    </row>
    <row r="184">
      <c r="C184" t="str">
        <v>交强险、商业险¥300万、座位险¥5万 (一站式)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39</v>
      </c>
      <c r="AL184">
        <v>52</v>
      </c>
      <c r="AM184">
        <v>65</v>
      </c>
      <c r="AN184">
        <v>78</v>
      </c>
      <c r="AO184">
        <v>11</v>
      </c>
      <c r="AP184">
        <v>24</v>
      </c>
      <c r="AQ184">
        <v>20</v>
      </c>
    </row>
    <row r="185">
      <c r="C185" t="str">
        <v>交强险、商业险¥300万、座位险¥10万(旧一站式、一站式)</v>
      </c>
      <c r="M185">
        <v>35</v>
      </c>
      <c r="N185">
        <v>48</v>
      </c>
      <c r="O185">
        <v>61</v>
      </c>
      <c r="P185">
        <v>74</v>
      </c>
      <c r="Q185">
        <v>87</v>
      </c>
      <c r="R185">
        <v>20</v>
      </c>
      <c r="S185">
        <v>16</v>
      </c>
      <c r="T185">
        <v>29</v>
      </c>
      <c r="U185">
        <v>42</v>
      </c>
      <c r="V185">
        <v>55</v>
      </c>
      <c r="W185">
        <v>68</v>
      </c>
      <c r="X185">
        <v>81</v>
      </c>
      <c r="Y185">
        <v>14</v>
      </c>
      <c r="Z185">
        <v>10</v>
      </c>
      <c r="AA185">
        <v>23</v>
      </c>
      <c r="AB185">
        <v>36</v>
      </c>
      <c r="AC185">
        <v>49</v>
      </c>
      <c r="AD185">
        <v>62</v>
      </c>
      <c r="AE185">
        <v>75</v>
      </c>
      <c r="AF185">
        <v>88</v>
      </c>
      <c r="AG185">
        <v>21</v>
      </c>
      <c r="AH185">
        <v>17</v>
      </c>
      <c r="AI185">
        <v>30</v>
      </c>
      <c r="AJ185">
        <v>43</v>
      </c>
      <c r="AK185">
        <v>56</v>
      </c>
      <c r="AL185">
        <v>69</v>
      </c>
      <c r="AM185">
        <v>82</v>
      </c>
      <c r="AN185">
        <v>15</v>
      </c>
      <c r="AO185">
        <v>11</v>
      </c>
      <c r="AP185">
        <v>24</v>
      </c>
      <c r="AQ185">
        <v>37</v>
      </c>
    </row>
    <row r="186">
      <c r="C186" t="str">
        <v>交强险、商业险¥500万、座位险¥1万(等效先认)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</row>
    <row r="187">
      <c r="C187" t="str">
        <v>交强险、商业险¥500万、座位险¥3万(等效先认)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23</v>
      </c>
      <c r="AM187">
        <v>19</v>
      </c>
      <c r="AN187">
        <v>32</v>
      </c>
      <c r="AO187">
        <v>45</v>
      </c>
      <c r="AP187">
        <v>58</v>
      </c>
      <c r="AQ187">
        <v>71</v>
      </c>
    </row>
    <row r="188">
      <c r="C188" t="str">
        <v>交强险、商业险¥500万、座位险¥5万(等效先认)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23</v>
      </c>
      <c r="AM188">
        <v>36</v>
      </c>
      <c r="AN188">
        <v>49</v>
      </c>
      <c r="AO188">
        <v>62</v>
      </c>
      <c r="AP188">
        <v>75</v>
      </c>
      <c r="AQ188">
        <v>88</v>
      </c>
    </row>
    <row r="189">
      <c r="C189" t="str">
        <v>交强险、商业险¥500万、座位险¥10万(等效先认)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</row>
    <row r="190">
      <c r="C190" t="str">
        <v>交强险、商业险¥800万、座位险¥3万(等效先认)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</row>
    <row r="191">
      <c r="C191" t="str">
        <v>交强险、商业险¥800万、座位险¥5万(等效先认)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87</v>
      </c>
      <c r="AN191">
        <v>20</v>
      </c>
      <c r="AO191">
        <v>16</v>
      </c>
      <c r="AP191">
        <v>29</v>
      </c>
      <c r="AQ191">
        <v>42</v>
      </c>
    </row>
    <row r="192">
      <c r="C192" t="str">
        <v>交强险、商业险¥800万、座位险¥10万(等效先认)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</row>
    <row r="193">
      <c r="C193" t="str">
        <v>交强险、商业险¥1000万、座位险¥3万(等效先认)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</row>
    <row r="194">
      <c r="C194" t="str">
        <v>交强险、商业险¥1000万、座位险¥5万(等效先认)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</row>
    <row r="195">
      <c r="C195" t="str">
        <v>交强险、商业险¥1000万、座位险¥10万(等效先认)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</row>
    <row r="197">
      <c r="C197" t="str">
        <v>Product Type-等效先认</v>
      </c>
      <c r="M197">
        <f>SUM(M198:M210)</f>
        <v>0</v>
      </c>
      <c r="N197">
        <f>SUM(N198:N210)</f>
        <v>0</v>
      </c>
      <c r="O197">
        <f>SUM(O198:O210)</f>
        <v>0</v>
      </c>
      <c r="P197">
        <f>SUM(P198:P210)</f>
        <v>0</v>
      </c>
      <c r="Q197">
        <f>SUM(Q198:Q210)</f>
        <v>0</v>
      </c>
      <c r="R197">
        <f>SUM(R198:R210)</f>
        <v>0</v>
      </c>
      <c r="S197">
        <f>SUM(S198:S210)</f>
        <v>0</v>
      </c>
      <c r="T197">
        <f>SUM(T198:T210)</f>
        <v>0</v>
      </c>
      <c r="U197">
        <f>SUM(U198:U210)</f>
        <v>0</v>
      </c>
      <c r="V197">
        <f>SUM(V198:V210)</f>
        <v>0</v>
      </c>
      <c r="W197">
        <f>SUM(W198:W210)</f>
        <v>0</v>
      </c>
      <c r="X197">
        <f>SUM(X198:X210)</f>
        <v>0</v>
      </c>
      <c r="Y197">
        <f>SUM(Y198:Y210)</f>
        <v>0</v>
      </c>
      <c r="Z197">
        <f>SUM(Z198:Z210)</f>
        <v>0</v>
      </c>
      <c r="AA197">
        <f>SUM(AA198:AA210)</f>
        <v>0</v>
      </c>
      <c r="AB197">
        <f>SUM(AB198:AB210)</f>
        <v>0</v>
      </c>
      <c r="AC197">
        <f>SUM(AC198:AC210)</f>
        <v>0</v>
      </c>
      <c r="AD197">
        <f>SUM(AD198:AD210)</f>
        <v>0</v>
      </c>
      <c r="AE197">
        <f>SUM(AE198:AE210)</f>
        <v>0</v>
      </c>
      <c r="AF197">
        <f>SUM(AF198:AF210)</f>
        <v>0</v>
      </c>
      <c r="AG197">
        <f>SUM(AG198:AG210)</f>
        <v>0</v>
      </c>
      <c r="AH197">
        <f>SUM(AH198:AH210)</f>
        <v>0</v>
      </c>
      <c r="AI197">
        <f>SUM(AI198:AI210)</f>
        <v>0</v>
      </c>
      <c r="AJ197">
        <f>SUM(AJ198:AJ210)</f>
        <v>0</v>
      </c>
      <c r="AK197">
        <v>66</v>
      </c>
      <c r="AL197">
        <v>79</v>
      </c>
      <c r="AM197">
        <v>182</v>
      </c>
      <c r="AN197">
        <v>195</v>
      </c>
      <c r="AO197">
        <v>111</v>
      </c>
      <c r="AP197">
        <v>124</v>
      </c>
      <c r="AQ197">
        <v>137</v>
      </c>
    </row>
    <row r="198">
      <c r="C198" t="str">
        <v>交强险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16</v>
      </c>
      <c r="AM198">
        <v>12</v>
      </c>
      <c r="AN198">
        <v>25</v>
      </c>
      <c r="AO198">
        <v>38</v>
      </c>
      <c r="AP198">
        <v>51</v>
      </c>
      <c r="AQ198">
        <v>64</v>
      </c>
    </row>
    <row r="199">
      <c r="C199" t="str">
        <v>交强险、商业险¥200万、座位险¥1万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20</v>
      </c>
      <c r="AL199">
        <v>16</v>
      </c>
      <c r="AM199">
        <v>29</v>
      </c>
      <c r="AN199">
        <v>42</v>
      </c>
      <c r="AO199">
        <v>55</v>
      </c>
      <c r="AP199">
        <v>68</v>
      </c>
      <c r="AQ199">
        <v>81</v>
      </c>
    </row>
    <row r="200">
      <c r="C200" t="str">
        <v>交强险、商业险¥300万、座位险¥1万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20</v>
      </c>
      <c r="AL200">
        <v>33</v>
      </c>
      <c r="AM200">
        <v>136</v>
      </c>
      <c r="AN200">
        <v>149</v>
      </c>
      <c r="AO200">
        <v>162</v>
      </c>
      <c r="AP200">
        <v>175</v>
      </c>
      <c r="AQ200">
        <v>188</v>
      </c>
    </row>
    <row r="201">
      <c r="C201" t="str">
        <v>交强险、商业险¥500万、座位险¥1万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</row>
    <row r="202">
      <c r="C202" t="str">
        <v>交强险、商业险¥500万、座位险¥3万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67</v>
      </c>
      <c r="AM202">
        <v>80</v>
      </c>
      <c r="AN202">
        <v>13</v>
      </c>
      <c r="AO202">
        <v>26</v>
      </c>
      <c r="AP202">
        <v>22</v>
      </c>
      <c r="AQ202">
        <v>35</v>
      </c>
    </row>
    <row r="203">
      <c r="C203" t="str">
        <v>交强险、商业险¥500万、座位险¥5万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84</v>
      </c>
      <c r="AM203">
        <v>17</v>
      </c>
      <c r="AN203">
        <v>13</v>
      </c>
      <c r="AO203">
        <v>26</v>
      </c>
      <c r="AP203">
        <v>39</v>
      </c>
      <c r="AQ203">
        <v>52</v>
      </c>
    </row>
    <row r="204">
      <c r="C204" t="str">
        <v>交强险、商业险¥500万、座位险¥10万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</row>
    <row r="205">
      <c r="C205" t="str">
        <v>交强险、商业险¥800万、座位险¥3万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</row>
    <row r="206">
      <c r="C206" t="str">
        <v>交强险、商业险¥800万、座位险¥5万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51</v>
      </c>
      <c r="AN206">
        <v>64</v>
      </c>
      <c r="AO206">
        <v>77</v>
      </c>
      <c r="AP206">
        <v>10</v>
      </c>
      <c r="AQ206">
        <v>23</v>
      </c>
    </row>
    <row r="207">
      <c r="C207" t="str">
        <v>交强险、商业险¥800万、座位险¥10万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</row>
    <row r="208">
      <c r="C208" t="str">
        <v>交强险、商业险¥1000万、座位险¥3万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</row>
    <row r="209">
      <c r="C209" t="str">
        <v>交强险、商业险¥1000万、座位险¥5万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</row>
    <row r="210">
      <c r="C210" t="str">
        <v>交强险、商业险¥1000万、座位险¥10万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</row>
    <row r="212">
      <c r="C212" t="str">
        <v>Product Type-一站式</v>
      </c>
      <c r="M212">
        <v>196</v>
      </c>
      <c r="N212">
        <v>112</v>
      </c>
      <c r="O212">
        <v>125</v>
      </c>
      <c r="P212">
        <v>48</v>
      </c>
      <c r="Q212">
        <v>151</v>
      </c>
      <c r="R212">
        <v>164</v>
      </c>
      <c r="S212">
        <v>177</v>
      </c>
      <c r="T212">
        <v>190</v>
      </c>
      <c r="U212">
        <v>106</v>
      </c>
      <c r="V212">
        <v>119</v>
      </c>
      <c r="W212">
        <v>132</v>
      </c>
      <c r="X212">
        <v>145</v>
      </c>
      <c r="Y212">
        <v>158</v>
      </c>
      <c r="Z212">
        <v>171</v>
      </c>
      <c r="AA212">
        <v>184</v>
      </c>
      <c r="AB212">
        <v>100</v>
      </c>
      <c r="AC212">
        <v>113</v>
      </c>
      <c r="AD212">
        <v>126</v>
      </c>
      <c r="AE212">
        <v>139</v>
      </c>
      <c r="AF212">
        <v>152</v>
      </c>
      <c r="AG212">
        <v>165</v>
      </c>
      <c r="AH212">
        <v>178</v>
      </c>
      <c r="AI212">
        <v>191</v>
      </c>
      <c r="AJ212">
        <v>107</v>
      </c>
      <c r="AK212">
        <v>120</v>
      </c>
      <c r="AL212">
        <v>133</v>
      </c>
      <c r="AM212">
        <v>146</v>
      </c>
      <c r="AN212">
        <v>159</v>
      </c>
      <c r="AO212">
        <v>172</v>
      </c>
      <c r="AP212">
        <v>185</v>
      </c>
      <c r="AQ212">
        <v>101</v>
      </c>
    </row>
    <row r="213">
      <c r="C213" t="str">
        <v>交强险</v>
      </c>
      <c r="M213">
        <v>26</v>
      </c>
      <c r="N213">
        <v>39</v>
      </c>
      <c r="O213">
        <v>52</v>
      </c>
      <c r="P213">
        <v>65</v>
      </c>
      <c r="Q213">
        <v>78</v>
      </c>
      <c r="R213">
        <v>11</v>
      </c>
      <c r="S213">
        <v>24</v>
      </c>
      <c r="T213">
        <v>20</v>
      </c>
      <c r="U213">
        <v>33</v>
      </c>
      <c r="V213">
        <v>46</v>
      </c>
      <c r="W213">
        <v>59</v>
      </c>
      <c r="X213">
        <v>72</v>
      </c>
      <c r="Y213">
        <v>85</v>
      </c>
      <c r="Z213">
        <v>18</v>
      </c>
      <c r="AA213">
        <v>14</v>
      </c>
      <c r="AB213">
        <v>27</v>
      </c>
      <c r="AC213">
        <v>40</v>
      </c>
      <c r="AD213">
        <v>53</v>
      </c>
      <c r="AE213">
        <v>66</v>
      </c>
      <c r="AF213">
        <v>79</v>
      </c>
      <c r="AG213">
        <v>12</v>
      </c>
      <c r="AH213">
        <v>25</v>
      </c>
      <c r="AI213">
        <v>21</v>
      </c>
      <c r="AJ213">
        <v>34</v>
      </c>
      <c r="AK213">
        <v>47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</row>
    <row r="214">
      <c r="C214" t="str">
        <v>交强险、商业险¥150万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</row>
    <row r="215">
      <c r="C215" t="str">
        <v>交强险、商业险¥150万、座位险¥3万</v>
      </c>
      <c r="M215">
        <v>60</v>
      </c>
      <c r="N215">
        <v>73</v>
      </c>
      <c r="O215">
        <v>86</v>
      </c>
      <c r="P215">
        <v>19</v>
      </c>
      <c r="Q215">
        <v>105</v>
      </c>
      <c r="R215">
        <v>118</v>
      </c>
      <c r="S215">
        <v>131</v>
      </c>
      <c r="T215">
        <v>144</v>
      </c>
      <c r="U215">
        <v>157</v>
      </c>
      <c r="V215">
        <v>170</v>
      </c>
      <c r="W215">
        <v>183</v>
      </c>
      <c r="X215">
        <v>196</v>
      </c>
      <c r="Y215">
        <v>112</v>
      </c>
      <c r="Z215">
        <v>125</v>
      </c>
      <c r="AA215">
        <v>138</v>
      </c>
      <c r="AB215">
        <v>151</v>
      </c>
      <c r="AC215">
        <v>164</v>
      </c>
      <c r="AD215">
        <v>177</v>
      </c>
      <c r="AE215">
        <v>20</v>
      </c>
      <c r="AF215">
        <v>106</v>
      </c>
      <c r="AG215">
        <v>29</v>
      </c>
      <c r="AH215">
        <v>132</v>
      </c>
      <c r="AI215">
        <v>145</v>
      </c>
      <c r="AJ215">
        <v>158</v>
      </c>
      <c r="AK215">
        <v>81</v>
      </c>
      <c r="AL215">
        <v>14</v>
      </c>
      <c r="AM215">
        <v>10</v>
      </c>
      <c r="AN215">
        <v>23</v>
      </c>
      <c r="AO215">
        <v>36</v>
      </c>
      <c r="AP215">
        <v>49</v>
      </c>
      <c r="AQ215">
        <v>62</v>
      </c>
    </row>
    <row r="216">
      <c r="C216" t="str">
        <v>交强险、商业险¥150万、座位险¥5万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</row>
    <row r="217">
      <c r="C217" t="str">
        <v>交强险、商业险¥150万、座位险¥10万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</row>
    <row r="218">
      <c r="C218" t="str">
        <v>交强险、商业险¥200万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</row>
    <row r="219">
      <c r="C219" t="str">
        <v>交强险、商业险¥200万、座位险¥3万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</row>
    <row r="220">
      <c r="C220" t="str">
        <v>交强险、商业险¥200万、座位险¥5万</v>
      </c>
      <c r="M220">
        <v>48</v>
      </c>
      <c r="N220">
        <v>61</v>
      </c>
      <c r="O220">
        <v>74</v>
      </c>
      <c r="P220">
        <v>87</v>
      </c>
      <c r="Q220">
        <v>190</v>
      </c>
      <c r="R220">
        <v>106</v>
      </c>
      <c r="S220">
        <v>119</v>
      </c>
      <c r="T220">
        <v>132</v>
      </c>
      <c r="U220">
        <v>145</v>
      </c>
      <c r="V220">
        <v>158</v>
      </c>
      <c r="W220">
        <v>171</v>
      </c>
      <c r="X220">
        <v>184</v>
      </c>
      <c r="Y220">
        <v>100</v>
      </c>
      <c r="Z220">
        <v>113</v>
      </c>
      <c r="AA220">
        <v>126</v>
      </c>
      <c r="AB220">
        <v>139</v>
      </c>
      <c r="AC220">
        <v>62</v>
      </c>
      <c r="AD220">
        <v>165</v>
      </c>
      <c r="AE220">
        <v>88</v>
      </c>
      <c r="AF220">
        <v>21</v>
      </c>
      <c r="AG220">
        <v>17</v>
      </c>
      <c r="AH220">
        <v>120</v>
      </c>
      <c r="AI220">
        <v>133</v>
      </c>
      <c r="AJ220">
        <v>146</v>
      </c>
      <c r="AK220">
        <v>159</v>
      </c>
      <c r="AL220">
        <v>172</v>
      </c>
      <c r="AM220">
        <v>185</v>
      </c>
      <c r="AN220">
        <v>11</v>
      </c>
      <c r="AO220">
        <v>24</v>
      </c>
      <c r="AP220">
        <v>37</v>
      </c>
      <c r="AQ220">
        <v>50</v>
      </c>
    </row>
    <row r="221">
      <c r="C221" t="str">
        <v>交强险、商业险¥200万、座位险¥10万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</row>
    <row r="222">
      <c r="C222" t="str">
        <v>交强险、商业险¥300万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</row>
    <row r="223">
      <c r="C223" t="str">
        <v xml:space="preserve">交强险、商业险¥300万、座位险¥1万 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23</v>
      </c>
      <c r="AL223">
        <v>36</v>
      </c>
      <c r="AM223">
        <v>49</v>
      </c>
      <c r="AN223">
        <v>62</v>
      </c>
      <c r="AO223">
        <v>75</v>
      </c>
      <c r="AP223">
        <v>88</v>
      </c>
      <c r="AQ223">
        <v>21</v>
      </c>
    </row>
    <row r="224">
      <c r="C224" t="str">
        <v xml:space="preserve">交强险、商业险¥300万、座位险¥3万 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</row>
    <row r="225">
      <c r="C225" t="str">
        <v xml:space="preserve">交强险、商业险¥300万、座位险¥5万 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57</v>
      </c>
      <c r="AL225">
        <v>70</v>
      </c>
      <c r="AM225">
        <v>83</v>
      </c>
      <c r="AN225">
        <v>16</v>
      </c>
      <c r="AO225">
        <v>12</v>
      </c>
      <c r="AP225">
        <v>25</v>
      </c>
      <c r="AQ225">
        <v>38</v>
      </c>
    </row>
    <row r="226">
      <c r="C226" t="str">
        <v>交强险、商业险¥300万、座位险¥10万</v>
      </c>
      <c r="M226">
        <v>53</v>
      </c>
      <c r="N226">
        <v>66</v>
      </c>
      <c r="O226">
        <v>79</v>
      </c>
      <c r="P226">
        <v>12</v>
      </c>
      <c r="Q226">
        <v>25</v>
      </c>
      <c r="R226">
        <v>21</v>
      </c>
      <c r="S226">
        <v>34</v>
      </c>
      <c r="T226">
        <v>47</v>
      </c>
      <c r="U226">
        <v>60</v>
      </c>
      <c r="V226">
        <v>73</v>
      </c>
      <c r="W226">
        <v>86</v>
      </c>
      <c r="X226">
        <v>19</v>
      </c>
      <c r="Y226">
        <v>15</v>
      </c>
      <c r="Z226">
        <v>28</v>
      </c>
      <c r="AA226">
        <v>41</v>
      </c>
      <c r="AB226">
        <v>54</v>
      </c>
      <c r="AC226">
        <v>67</v>
      </c>
      <c r="AD226">
        <v>80</v>
      </c>
      <c r="AE226">
        <v>13</v>
      </c>
      <c r="AF226">
        <v>26</v>
      </c>
      <c r="AG226">
        <v>22</v>
      </c>
      <c r="AH226">
        <v>35</v>
      </c>
      <c r="AI226">
        <v>48</v>
      </c>
      <c r="AJ226">
        <v>61</v>
      </c>
      <c r="AK226">
        <v>74</v>
      </c>
      <c r="AL226">
        <v>87</v>
      </c>
      <c r="AM226">
        <v>20</v>
      </c>
      <c r="AN226">
        <v>16</v>
      </c>
      <c r="AO226">
        <v>29</v>
      </c>
      <c r="AP226">
        <v>42</v>
      </c>
      <c r="AQ226">
        <v>55</v>
      </c>
    </row>
    <row r="228">
      <c r="C228" t="str">
        <v>Product Type-TAIPING</v>
      </c>
      <c r="M228">
        <v>177</v>
      </c>
      <c r="N228">
        <v>190</v>
      </c>
      <c r="O228">
        <v>106</v>
      </c>
      <c r="P228">
        <v>29</v>
      </c>
      <c r="Q228">
        <v>42</v>
      </c>
      <c r="R228">
        <v>55</v>
      </c>
      <c r="S228">
        <v>68</v>
      </c>
      <c r="T228">
        <v>81</v>
      </c>
      <c r="U228">
        <v>184</v>
      </c>
      <c r="V228">
        <v>10</v>
      </c>
      <c r="W228">
        <v>23</v>
      </c>
      <c r="X228">
        <v>36</v>
      </c>
      <c r="Y228">
        <v>139</v>
      </c>
      <c r="Z228">
        <v>152</v>
      </c>
      <c r="AA228">
        <v>75</v>
      </c>
      <c r="AB228">
        <v>88</v>
      </c>
      <c r="AC228">
        <v>21</v>
      </c>
      <c r="AD228">
        <v>17</v>
      </c>
      <c r="AE228">
        <v>30</v>
      </c>
      <c r="AF228">
        <v>43</v>
      </c>
      <c r="AG228">
        <v>56</v>
      </c>
      <c r="AH228">
        <v>69</v>
      </c>
      <c r="AI228">
        <v>82</v>
      </c>
      <c r="AJ228">
        <v>15</v>
      </c>
      <c r="AK228">
        <v>11</v>
      </c>
      <c r="AL228">
        <v>24</v>
      </c>
      <c r="AM228">
        <v>127</v>
      </c>
      <c r="AN228">
        <v>140</v>
      </c>
      <c r="AO228">
        <v>153</v>
      </c>
      <c r="AP228">
        <v>166</v>
      </c>
      <c r="AQ228">
        <v>179</v>
      </c>
    </row>
    <row r="229">
      <c r="C229" t="str">
        <v>交强险(旧一站式、一站式、等效先认)</v>
      </c>
      <c r="M229">
        <v>24</v>
      </c>
      <c r="N229">
        <v>20</v>
      </c>
      <c r="O229">
        <v>33</v>
      </c>
      <c r="P229">
        <v>46</v>
      </c>
      <c r="Q229">
        <v>59</v>
      </c>
      <c r="R229">
        <v>72</v>
      </c>
      <c r="S229">
        <v>85</v>
      </c>
      <c r="T229">
        <v>18</v>
      </c>
      <c r="U229">
        <v>14</v>
      </c>
      <c r="V229">
        <v>27</v>
      </c>
      <c r="W229">
        <v>40</v>
      </c>
      <c r="X229">
        <v>53</v>
      </c>
      <c r="Y229">
        <v>66</v>
      </c>
      <c r="Z229">
        <v>79</v>
      </c>
      <c r="AA229">
        <v>12</v>
      </c>
      <c r="AB229">
        <v>25</v>
      </c>
      <c r="AC229">
        <v>21</v>
      </c>
      <c r="AD229">
        <v>34</v>
      </c>
      <c r="AE229">
        <v>47</v>
      </c>
      <c r="AF229">
        <v>60</v>
      </c>
      <c r="AG229">
        <v>73</v>
      </c>
      <c r="AH229">
        <v>86</v>
      </c>
      <c r="AI229">
        <v>19</v>
      </c>
      <c r="AJ229">
        <v>15</v>
      </c>
      <c r="AK229">
        <v>28</v>
      </c>
      <c r="AL229">
        <v>41</v>
      </c>
      <c r="AM229">
        <v>54</v>
      </c>
      <c r="AN229">
        <v>67</v>
      </c>
      <c r="AO229">
        <v>80</v>
      </c>
      <c r="AP229">
        <v>13</v>
      </c>
      <c r="AQ229">
        <v>26</v>
      </c>
    </row>
    <row r="230">
      <c r="C230" t="str">
        <v>交强险、商业险¥150万、座位险¥3万(旧一站式)</v>
      </c>
      <c r="M230">
        <v>24</v>
      </c>
      <c r="N230">
        <v>37</v>
      </c>
      <c r="O230">
        <v>50</v>
      </c>
      <c r="P230">
        <v>63</v>
      </c>
      <c r="Q230">
        <v>76</v>
      </c>
      <c r="R230">
        <v>89</v>
      </c>
      <c r="S230">
        <v>22</v>
      </c>
      <c r="T230">
        <v>18</v>
      </c>
      <c r="U230">
        <v>31</v>
      </c>
      <c r="V230">
        <v>44</v>
      </c>
      <c r="W230">
        <v>57</v>
      </c>
      <c r="X230">
        <v>70</v>
      </c>
      <c r="Y230">
        <v>83</v>
      </c>
      <c r="Z230">
        <v>16</v>
      </c>
      <c r="AA230">
        <v>12</v>
      </c>
      <c r="AB230">
        <v>25</v>
      </c>
      <c r="AC230">
        <v>38</v>
      </c>
      <c r="AD230">
        <v>51</v>
      </c>
      <c r="AE230">
        <v>64</v>
      </c>
      <c r="AF230">
        <v>77</v>
      </c>
      <c r="AG230">
        <v>10</v>
      </c>
      <c r="AH230">
        <v>23</v>
      </c>
      <c r="AI230">
        <v>19</v>
      </c>
      <c r="AJ230">
        <v>32</v>
      </c>
      <c r="AK230">
        <v>45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</row>
    <row r="231">
      <c r="C231" t="str">
        <v>交强险、商业险¥200万、座位险¥1万(等效先认)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62</v>
      </c>
      <c r="AL231">
        <v>75</v>
      </c>
      <c r="AM231">
        <v>88</v>
      </c>
      <c r="AN231">
        <v>21</v>
      </c>
      <c r="AO231">
        <v>17</v>
      </c>
      <c r="AP231">
        <v>30</v>
      </c>
      <c r="AQ231">
        <v>43</v>
      </c>
    </row>
    <row r="232">
      <c r="C232" t="str">
        <v>交强险、商业险¥200万、座位险¥5万(旧一站式)</v>
      </c>
      <c r="M232">
        <v>58</v>
      </c>
      <c r="N232">
        <v>71</v>
      </c>
      <c r="O232">
        <v>84</v>
      </c>
      <c r="P232">
        <v>17</v>
      </c>
      <c r="Q232">
        <v>13</v>
      </c>
      <c r="R232">
        <v>26</v>
      </c>
      <c r="S232">
        <v>39</v>
      </c>
      <c r="T232">
        <v>52</v>
      </c>
      <c r="U232">
        <v>65</v>
      </c>
      <c r="V232">
        <v>78</v>
      </c>
      <c r="W232">
        <v>11</v>
      </c>
      <c r="X232">
        <v>24</v>
      </c>
      <c r="Y232">
        <v>20</v>
      </c>
      <c r="Z232">
        <v>33</v>
      </c>
      <c r="AA232">
        <v>46</v>
      </c>
      <c r="AB232">
        <v>59</v>
      </c>
      <c r="AC232">
        <v>72</v>
      </c>
      <c r="AD232">
        <v>85</v>
      </c>
      <c r="AE232">
        <v>18</v>
      </c>
      <c r="AF232">
        <v>14</v>
      </c>
      <c r="AG232">
        <v>27</v>
      </c>
      <c r="AH232">
        <v>40</v>
      </c>
      <c r="AI232">
        <v>53</v>
      </c>
      <c r="AJ232">
        <v>66</v>
      </c>
      <c r="AK232">
        <v>79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</row>
    <row r="233">
      <c r="C233" t="str">
        <v>交强险、商业险¥300万、座位险¥1万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16</v>
      </c>
      <c r="AL233">
        <v>12</v>
      </c>
      <c r="AM233">
        <v>25</v>
      </c>
      <c r="AN233">
        <v>38</v>
      </c>
      <c r="AO233">
        <v>141</v>
      </c>
      <c r="AP233">
        <v>154</v>
      </c>
      <c r="AQ233">
        <v>167</v>
      </c>
    </row>
    <row r="234">
      <c r="C234" t="str">
        <v>交强险、商业险¥300万、座位险¥10万(旧一站式)</v>
      </c>
      <c r="M234">
        <v>12</v>
      </c>
      <c r="N234">
        <v>25</v>
      </c>
      <c r="O234">
        <v>21</v>
      </c>
      <c r="P234">
        <v>34</v>
      </c>
      <c r="Q234">
        <v>47</v>
      </c>
      <c r="R234">
        <v>60</v>
      </c>
      <c r="S234">
        <v>73</v>
      </c>
      <c r="T234">
        <v>86</v>
      </c>
      <c r="U234">
        <v>19</v>
      </c>
      <c r="V234">
        <v>15</v>
      </c>
      <c r="W234">
        <v>28</v>
      </c>
      <c r="X234">
        <v>41</v>
      </c>
      <c r="Y234">
        <v>54</v>
      </c>
      <c r="Z234">
        <v>67</v>
      </c>
      <c r="AA234">
        <v>80</v>
      </c>
      <c r="AB234">
        <v>13</v>
      </c>
      <c r="AC234">
        <v>26</v>
      </c>
      <c r="AD234">
        <v>22</v>
      </c>
      <c r="AE234">
        <v>35</v>
      </c>
      <c r="AF234">
        <v>48</v>
      </c>
      <c r="AG234">
        <v>61</v>
      </c>
      <c r="AH234">
        <v>74</v>
      </c>
      <c r="AI234">
        <v>87</v>
      </c>
      <c r="AJ234">
        <v>20</v>
      </c>
      <c r="AK234">
        <v>16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</row>
    <row r="235">
      <c r="C235" t="str">
        <v>交强险、商业险¥500万、座位险¥1万(等效先认)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</row>
    <row r="236">
      <c r="C236" t="str">
        <v>交强险、商业险¥500万、座位险¥3万(等效先认)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63</v>
      </c>
      <c r="AM236">
        <v>76</v>
      </c>
      <c r="AN236">
        <v>89</v>
      </c>
      <c r="AO236">
        <v>22</v>
      </c>
      <c r="AP236">
        <v>18</v>
      </c>
      <c r="AQ236">
        <v>31</v>
      </c>
    </row>
    <row r="237">
      <c r="C237" t="str">
        <v>交强险、商业险¥500万、座位险¥5万(等效先认)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80</v>
      </c>
      <c r="AM237">
        <v>13</v>
      </c>
      <c r="AN237">
        <v>26</v>
      </c>
      <c r="AO237">
        <v>22</v>
      </c>
      <c r="AP237">
        <v>35</v>
      </c>
      <c r="AQ237">
        <v>48</v>
      </c>
    </row>
    <row r="238">
      <c r="C238" t="str">
        <v>交强险、商业险¥500万、座位险¥10万(等效先认)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</row>
    <row r="239">
      <c r="C239" t="str">
        <v>交强险、商业险¥800万、座位险¥3万(等效先认)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</row>
    <row r="240">
      <c r="C240" t="str">
        <v>交强险、商业险¥800万、座位险¥5万(等效先认)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47</v>
      </c>
      <c r="AN240">
        <v>60</v>
      </c>
      <c r="AO240">
        <v>73</v>
      </c>
      <c r="AP240">
        <v>86</v>
      </c>
      <c r="AQ240">
        <v>19</v>
      </c>
    </row>
    <row r="241">
      <c r="C241" t="str">
        <v>交强险、商业险¥800万、座位险¥10万(等效先认)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</row>
    <row r="242">
      <c r="C242" t="str">
        <v>交强险、商业险¥1000万、座位险¥3万(等效先认)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</row>
    <row r="243">
      <c r="C243" t="str">
        <v>交强险、商业险¥1000万、座位险¥5万(等效先认)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</row>
    <row r="244">
      <c r="C244" t="str">
        <v>交强险、商业险¥1000万、座位险¥10万(等效先认)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</row>
    <row r="246">
      <c r="C246" t="str">
        <v>Product Type-PICC</v>
      </c>
      <c r="M246">
        <f>SUM(M247:M264)</f>
        <v>0</v>
      </c>
      <c r="N246">
        <f>SUM(N247:N264)</f>
        <v>0</v>
      </c>
      <c r="O246">
        <v>31</v>
      </c>
      <c r="P246">
        <v>44</v>
      </c>
      <c r="Q246">
        <v>147</v>
      </c>
      <c r="R246">
        <v>160</v>
      </c>
      <c r="S246">
        <v>173</v>
      </c>
      <c r="T246">
        <v>186</v>
      </c>
      <c r="U246">
        <v>102</v>
      </c>
      <c r="V246">
        <v>115</v>
      </c>
      <c r="W246">
        <v>128</v>
      </c>
      <c r="X246">
        <v>141</v>
      </c>
      <c r="Y246">
        <v>154</v>
      </c>
      <c r="Z246">
        <v>167</v>
      </c>
      <c r="AA246">
        <v>180</v>
      </c>
      <c r="AB246">
        <v>193</v>
      </c>
      <c r="AC246">
        <v>109</v>
      </c>
      <c r="AD246">
        <v>122</v>
      </c>
      <c r="AE246">
        <v>45</v>
      </c>
      <c r="AF246">
        <v>148</v>
      </c>
      <c r="AG246">
        <v>161</v>
      </c>
      <c r="AH246">
        <v>174</v>
      </c>
      <c r="AI246">
        <v>187</v>
      </c>
      <c r="AJ246">
        <v>103</v>
      </c>
      <c r="AK246">
        <v>116</v>
      </c>
      <c r="AL246">
        <v>129</v>
      </c>
      <c r="AM246">
        <v>142</v>
      </c>
      <c r="AN246">
        <v>155</v>
      </c>
      <c r="AO246">
        <v>168</v>
      </c>
      <c r="AP246">
        <v>181</v>
      </c>
      <c r="AQ246">
        <v>194</v>
      </c>
    </row>
    <row r="247">
      <c r="C247" t="str">
        <v>交强险(旧一站式、一站式、等效先认)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56</v>
      </c>
      <c r="AM247">
        <v>69</v>
      </c>
      <c r="AN247">
        <v>82</v>
      </c>
      <c r="AO247">
        <v>15</v>
      </c>
      <c r="AP247">
        <v>11</v>
      </c>
      <c r="AQ247">
        <v>24</v>
      </c>
    </row>
    <row r="248">
      <c r="C248" t="str">
        <v>交强险、商业险¥150万(一站式)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</row>
    <row r="249">
      <c r="C249" t="str">
        <v>交强险、商业险¥150万、座位险¥3万(旧一站式、一站式)</v>
      </c>
      <c r="M249">
        <v>0</v>
      </c>
      <c r="N249">
        <v>0</v>
      </c>
      <c r="O249">
        <v>82</v>
      </c>
      <c r="P249">
        <v>15</v>
      </c>
      <c r="Q249">
        <v>101</v>
      </c>
      <c r="R249">
        <v>114</v>
      </c>
      <c r="S249">
        <v>127</v>
      </c>
      <c r="T249">
        <v>140</v>
      </c>
      <c r="U249">
        <v>153</v>
      </c>
      <c r="V249">
        <v>166</v>
      </c>
      <c r="W249">
        <v>179</v>
      </c>
      <c r="X249">
        <v>192</v>
      </c>
      <c r="Y249">
        <v>108</v>
      </c>
      <c r="Z249">
        <v>121</v>
      </c>
      <c r="AA249">
        <v>134</v>
      </c>
      <c r="AB249">
        <v>147</v>
      </c>
      <c r="AC249">
        <v>160</v>
      </c>
      <c r="AD249">
        <v>173</v>
      </c>
      <c r="AE249">
        <v>16</v>
      </c>
      <c r="AF249">
        <v>12</v>
      </c>
      <c r="AG249">
        <v>25</v>
      </c>
      <c r="AH249">
        <v>128</v>
      </c>
      <c r="AI249">
        <v>141</v>
      </c>
      <c r="AJ249">
        <v>154</v>
      </c>
      <c r="AK249">
        <v>77</v>
      </c>
      <c r="AL249">
        <v>10</v>
      </c>
      <c r="AM249">
        <v>23</v>
      </c>
      <c r="AN249">
        <v>19</v>
      </c>
      <c r="AO249">
        <v>32</v>
      </c>
      <c r="AP249">
        <v>45</v>
      </c>
      <c r="AQ249">
        <v>58</v>
      </c>
    </row>
    <row r="250">
      <c r="C250" t="str">
        <v>交强险、商业险¥150万、座位险¥5万(一站式)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</row>
    <row r="251">
      <c r="C251" t="str">
        <v>交强险、商业险¥150万、座位险¥10万(一站式)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</row>
    <row r="252">
      <c r="C252" t="str">
        <v>交强险、商业险¥200万(一站式)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</row>
    <row r="253">
      <c r="C253" t="str">
        <v>交强险、商业险¥200万、座位险¥3万(一站式)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48</v>
      </c>
      <c r="AL253">
        <v>61</v>
      </c>
      <c r="AM253">
        <v>74</v>
      </c>
      <c r="AN253">
        <v>87</v>
      </c>
      <c r="AO253">
        <v>20</v>
      </c>
      <c r="AP253">
        <v>16</v>
      </c>
      <c r="AQ253">
        <v>29</v>
      </c>
    </row>
    <row r="254">
      <c r="C254" t="str">
        <v>交强险、商业险¥200万、座位险¥5万(旧一站式、一站式)</v>
      </c>
      <c r="M254">
        <v>0</v>
      </c>
      <c r="N254">
        <v>0</v>
      </c>
      <c r="O254">
        <v>70</v>
      </c>
      <c r="P254">
        <v>83</v>
      </c>
      <c r="Q254">
        <v>16</v>
      </c>
      <c r="R254">
        <v>102</v>
      </c>
      <c r="S254">
        <v>115</v>
      </c>
      <c r="T254">
        <v>128</v>
      </c>
      <c r="U254">
        <v>141</v>
      </c>
      <c r="V254">
        <v>154</v>
      </c>
      <c r="W254">
        <v>167</v>
      </c>
      <c r="X254">
        <v>180</v>
      </c>
      <c r="Y254">
        <v>193</v>
      </c>
      <c r="Z254">
        <v>109</v>
      </c>
      <c r="AA254">
        <v>122</v>
      </c>
      <c r="AB254">
        <v>45</v>
      </c>
      <c r="AC254">
        <v>58</v>
      </c>
      <c r="AD254">
        <v>161</v>
      </c>
      <c r="AE254">
        <v>84</v>
      </c>
      <c r="AF254">
        <v>17</v>
      </c>
      <c r="AG254">
        <v>13</v>
      </c>
      <c r="AH254">
        <v>26</v>
      </c>
      <c r="AI254">
        <v>129</v>
      </c>
      <c r="AJ254">
        <v>142</v>
      </c>
      <c r="AK254">
        <v>155</v>
      </c>
      <c r="AL254">
        <v>168</v>
      </c>
      <c r="AM254">
        <v>181</v>
      </c>
      <c r="AN254">
        <v>24</v>
      </c>
      <c r="AO254">
        <v>20</v>
      </c>
      <c r="AP254">
        <v>33</v>
      </c>
      <c r="AQ254">
        <v>46</v>
      </c>
    </row>
    <row r="255">
      <c r="C255" t="str">
        <v>交强险、商业险¥200万、座位险¥10万(一站式)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</row>
    <row r="256">
      <c r="C256" t="str">
        <v>交强险、商业险¥300万(一站式)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</row>
    <row r="257">
      <c r="C257" t="str">
        <v>交强险、商业险¥300万、座位险¥1万 (等效先认)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19</v>
      </c>
      <c r="AL257">
        <v>32</v>
      </c>
      <c r="AM257">
        <v>45</v>
      </c>
      <c r="AN257">
        <v>58</v>
      </c>
      <c r="AO257">
        <v>161</v>
      </c>
      <c r="AP257">
        <v>84</v>
      </c>
      <c r="AQ257">
        <v>187</v>
      </c>
    </row>
    <row r="258">
      <c r="C258" t="str">
        <v>交强险、商业险¥300万、座位险¥3万 (一站式)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36</v>
      </c>
      <c r="AL258">
        <v>49</v>
      </c>
      <c r="AM258">
        <v>62</v>
      </c>
      <c r="AN258">
        <v>75</v>
      </c>
      <c r="AO258">
        <v>88</v>
      </c>
      <c r="AP258">
        <v>21</v>
      </c>
      <c r="AQ258">
        <v>17</v>
      </c>
    </row>
    <row r="259">
      <c r="C259" t="str">
        <v>交强险、商业险¥300万、座位险¥5万 (一站式)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53</v>
      </c>
      <c r="AL259">
        <v>66</v>
      </c>
      <c r="AM259">
        <v>79</v>
      </c>
      <c r="AN259">
        <v>12</v>
      </c>
      <c r="AO259">
        <v>25</v>
      </c>
      <c r="AP259">
        <v>21</v>
      </c>
      <c r="AQ259">
        <v>34</v>
      </c>
    </row>
    <row r="260">
      <c r="C260" t="str">
        <v>交强险、商业险¥300万、座位险¥10万(旧一站式、一站式)</v>
      </c>
      <c r="M260">
        <v>0</v>
      </c>
      <c r="N260">
        <v>0</v>
      </c>
      <c r="O260">
        <v>0</v>
      </c>
      <c r="P260">
        <v>0</v>
      </c>
      <c r="Q260">
        <v>21</v>
      </c>
      <c r="R260">
        <v>17</v>
      </c>
      <c r="S260">
        <v>30</v>
      </c>
      <c r="T260">
        <v>43</v>
      </c>
      <c r="U260">
        <v>56</v>
      </c>
      <c r="V260">
        <v>69</v>
      </c>
      <c r="W260">
        <v>82</v>
      </c>
      <c r="X260">
        <v>15</v>
      </c>
      <c r="Y260">
        <v>11</v>
      </c>
      <c r="Z260">
        <v>24</v>
      </c>
      <c r="AA260">
        <v>37</v>
      </c>
      <c r="AB260">
        <v>50</v>
      </c>
      <c r="AC260">
        <v>63</v>
      </c>
      <c r="AD260">
        <v>76</v>
      </c>
      <c r="AE260">
        <v>89</v>
      </c>
      <c r="AF260">
        <v>22</v>
      </c>
      <c r="AG260">
        <v>18</v>
      </c>
      <c r="AH260">
        <v>31</v>
      </c>
      <c r="AI260">
        <v>44</v>
      </c>
      <c r="AJ260">
        <v>57</v>
      </c>
      <c r="AK260">
        <v>70</v>
      </c>
      <c r="AL260">
        <v>83</v>
      </c>
      <c r="AM260">
        <v>16</v>
      </c>
      <c r="AN260">
        <v>12</v>
      </c>
      <c r="AO260">
        <v>25</v>
      </c>
      <c r="AP260">
        <v>38</v>
      </c>
      <c r="AQ260">
        <v>51</v>
      </c>
    </row>
    <row r="261">
      <c r="C261" t="str">
        <v>交强险、商业险¥500万、座位险¥1万(等效先认)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</row>
    <row r="262">
      <c r="C262" t="str">
        <v>交强险、商业险¥500万、座位险¥3万(等效先认)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33</v>
      </c>
      <c r="AN262">
        <v>46</v>
      </c>
      <c r="AO262">
        <v>59</v>
      </c>
      <c r="AP262">
        <v>72</v>
      </c>
      <c r="AQ262">
        <v>85</v>
      </c>
    </row>
    <row r="263">
      <c r="C263" t="str">
        <v>交强险、商业险¥500万、座位险¥5万(等效先认)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</row>
    <row r="264">
      <c r="C264" t="str">
        <v>交强险、商业险¥500万、座位险¥10万(等效先认)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</row>
    <row r="266">
      <c r="C266" t="str">
        <v>Avg. Price</v>
      </c>
      <c r="H266">
        <f>SUM(Y266:Z266)</f>
        <v>0</v>
      </c>
    </row>
    <row r="267">
      <c r="C267" t="str">
        <v>- Overall</v>
      </c>
    </row>
    <row r="268">
      <c r="C268" t="str">
        <v xml:space="preserve"> - Taiping Product</v>
      </c>
      <c r="D268" t="str">
        <v>$</v>
      </c>
      <c r="F268">
        <v>184</v>
      </c>
      <c r="H268">
        <v>113</v>
      </c>
      <c r="J268">
        <v>139</v>
      </c>
      <c r="K268">
        <v>152</v>
      </c>
      <c r="M268">
        <v>178</v>
      </c>
      <c r="N268">
        <v>191</v>
      </c>
      <c r="O268">
        <v>107</v>
      </c>
      <c r="P268">
        <v>120</v>
      </c>
      <c r="Q268">
        <v>133</v>
      </c>
      <c r="R268">
        <v>146</v>
      </c>
      <c r="S268">
        <v>159</v>
      </c>
      <c r="T268">
        <v>172</v>
      </c>
      <c r="U268">
        <v>185</v>
      </c>
      <c r="V268">
        <v>101</v>
      </c>
      <c r="W268">
        <v>114</v>
      </c>
      <c r="X268">
        <v>127</v>
      </c>
      <c r="Y268">
        <v>140</v>
      </c>
      <c r="Z268">
        <v>153</v>
      </c>
      <c r="AA268">
        <v>166</v>
      </c>
      <c r="AB268">
        <v>179</v>
      </c>
      <c r="AC268">
        <v>192</v>
      </c>
      <c r="AD268">
        <v>108</v>
      </c>
      <c r="AE268">
        <v>121</v>
      </c>
      <c r="AF268">
        <v>134</v>
      </c>
      <c r="AG268">
        <v>147</v>
      </c>
      <c r="AH268">
        <v>160</v>
      </c>
      <c r="AI268">
        <v>173</v>
      </c>
      <c r="AJ268">
        <v>186</v>
      </c>
      <c r="AK268">
        <v>102</v>
      </c>
    </row>
    <row r="269">
      <c r="C269" t="str">
        <v xml:space="preserve"> - PICC Product</v>
      </c>
      <c r="D269" t="str">
        <v>$</v>
      </c>
      <c r="F269">
        <v>104</v>
      </c>
      <c r="H269">
        <v>130</v>
      </c>
      <c r="J269">
        <v>156</v>
      </c>
      <c r="K269">
        <v>169</v>
      </c>
      <c r="O269">
        <v>124</v>
      </c>
      <c r="P269">
        <v>137</v>
      </c>
      <c r="Q269">
        <v>150</v>
      </c>
      <c r="R269">
        <v>163</v>
      </c>
      <c r="S269">
        <v>176</v>
      </c>
      <c r="T269">
        <v>189</v>
      </c>
      <c r="U269">
        <v>105</v>
      </c>
      <c r="V269">
        <v>118</v>
      </c>
      <c r="W269">
        <v>131</v>
      </c>
      <c r="X269">
        <v>144</v>
      </c>
      <c r="Y269">
        <v>157</v>
      </c>
      <c r="Z269">
        <v>170</v>
      </c>
      <c r="AA269">
        <v>183</v>
      </c>
      <c r="AB269">
        <v>196</v>
      </c>
      <c r="AC269">
        <v>112</v>
      </c>
      <c r="AD269">
        <v>125</v>
      </c>
      <c r="AE269">
        <v>138</v>
      </c>
      <c r="AF269">
        <v>151</v>
      </c>
      <c r="AG269">
        <v>164</v>
      </c>
      <c r="AH269">
        <v>177</v>
      </c>
      <c r="AI269">
        <v>190</v>
      </c>
      <c r="AJ269">
        <v>106</v>
      </c>
      <c r="AK269">
        <v>119</v>
      </c>
    </row>
    <row r="271">
      <c r="C271" t="str">
        <v>驗車中心Cost</v>
      </c>
    </row>
    <row r="272">
      <c r="C272" t="str">
        <v>TAIPING Cost</v>
      </c>
      <c r="D272" t="str">
        <v>$</v>
      </c>
      <c r="T272">
        <v>10430</v>
      </c>
      <c r="U272">
        <v>10560</v>
      </c>
      <c r="V272">
        <v>10690</v>
      </c>
      <c r="W272">
        <v>182</v>
      </c>
      <c r="X272">
        <v>10950</v>
      </c>
      <c r="Y272">
        <v>10110</v>
      </c>
      <c r="Z272">
        <v>10240</v>
      </c>
      <c r="AA272">
        <v>10370</v>
      </c>
      <c r="AB272">
        <v>150</v>
      </c>
      <c r="AC272">
        <v>163</v>
      </c>
      <c r="AD272">
        <v>176</v>
      </c>
    </row>
    <row r="273">
      <c r="C273" t="str">
        <v>PICC Cost</v>
      </c>
      <c r="D273" t="str">
        <v>$</v>
      </c>
      <c r="T273">
        <v>10600</v>
      </c>
      <c r="U273">
        <v>10730</v>
      </c>
      <c r="V273">
        <v>10860</v>
      </c>
      <c r="W273">
        <v>10020</v>
      </c>
      <c r="X273">
        <v>10150</v>
      </c>
      <c r="Y273">
        <v>10280</v>
      </c>
      <c r="Z273">
        <v>10410</v>
      </c>
      <c r="AA273">
        <v>10540</v>
      </c>
      <c r="AB273">
        <v>10670</v>
      </c>
      <c r="AC273">
        <v>10800</v>
      </c>
      <c r="AD273">
        <v>10930</v>
      </c>
    </row>
    <row r="274">
      <c r="C274" t="str">
        <v>Total Cost</v>
      </c>
      <c r="D274" t="str">
        <v>$</v>
      </c>
      <c r="T274">
        <v>10770</v>
      </c>
      <c r="U274">
        <v>10900</v>
      </c>
      <c r="V274">
        <v>10060</v>
      </c>
      <c r="W274">
        <v>10190</v>
      </c>
      <c r="X274">
        <v>10320</v>
      </c>
      <c r="Y274">
        <v>10450</v>
      </c>
      <c r="Z274">
        <v>10580</v>
      </c>
      <c r="AA274">
        <v>10710</v>
      </c>
      <c r="AB274">
        <v>10840</v>
      </c>
      <c r="AC274">
        <v>10000</v>
      </c>
      <c r="AD274">
        <v>10130</v>
      </c>
      <c r="AE274">
        <f>SUM(AE272:AE273)</f>
        <v>0</v>
      </c>
      <c r="AF274">
        <f>SUM(AF272:AF273)</f>
        <v>0</v>
      </c>
      <c r="AG274">
        <f>SUM(AG272:AG273)</f>
        <v>0</v>
      </c>
      <c r="AH274">
        <f>SUM(AH272:AH273)</f>
        <v>0</v>
      </c>
      <c r="AI274">
        <f>SUM(AI272:AI273)</f>
        <v>0</v>
      </c>
      <c r="AJ274">
        <f>SUM(AJ272:AJ273)</f>
        <v>0</v>
      </c>
    </row>
    <row r="275">
      <c r="H275">
        <f>SUM(Y275:Z275)</f>
        <v>0</v>
      </c>
    </row>
    <row r="276">
      <c r="C276" t="str">
        <v>Share Breakup(%)</v>
      </c>
      <c r="H276">
        <f>SUM(Y276:Z276)</f>
        <v>0</v>
      </c>
    </row>
    <row r="277">
      <c r="C277" t="str">
        <v>Total Sales (Premium)%</v>
      </c>
      <c r="H277">
        <f>SUM(Y277:Z277)</f>
        <v>0</v>
      </c>
    </row>
    <row r="278">
      <c r="C278" t="str">
        <v xml:space="preserve"> - New Sales</v>
      </c>
      <c r="D278" t="str">
        <v>%</v>
      </c>
      <c r="F278">
        <v>70</v>
      </c>
      <c r="H278">
        <v>16</v>
      </c>
      <c r="J278">
        <v>0.2</v>
      </c>
      <c r="K278">
        <v>0.13</v>
      </c>
      <c r="M278">
        <v>64</v>
      </c>
      <c r="N278">
        <v>77</v>
      </c>
      <c r="O278">
        <v>10</v>
      </c>
      <c r="P278">
        <v>23</v>
      </c>
      <c r="Q278">
        <v>19</v>
      </c>
      <c r="R278">
        <v>32</v>
      </c>
      <c r="S278">
        <v>45</v>
      </c>
      <c r="T278">
        <v>58</v>
      </c>
      <c r="U278">
        <v>71</v>
      </c>
      <c r="V278">
        <v>0.19</v>
      </c>
      <c r="W278">
        <v>0.12</v>
      </c>
      <c r="X278">
        <v>0.08</v>
      </c>
      <c r="Y278">
        <v>0.21</v>
      </c>
      <c r="Z278">
        <v>0.14</v>
      </c>
      <c r="AA278">
        <v>0.07</v>
      </c>
      <c r="AB278">
        <v>0.2</v>
      </c>
      <c r="AC278">
        <v>0.13</v>
      </c>
      <c r="AD278">
        <v>0.06</v>
      </c>
      <c r="AE278">
        <v>0.19</v>
      </c>
      <c r="AF278">
        <v>0.15</v>
      </c>
      <c r="AG278">
        <v>0.08</v>
      </c>
      <c r="AH278">
        <v>0.21</v>
      </c>
      <c r="AI278">
        <v>0.14</v>
      </c>
      <c r="AJ278">
        <v>72</v>
      </c>
      <c r="AK278">
        <v>0.2</v>
      </c>
    </row>
    <row r="279">
      <c r="C279" t="str">
        <v xml:space="preserve"> - Renewal</v>
      </c>
      <c r="D279" t="str">
        <v>%</v>
      </c>
      <c r="F279">
        <v>0.22</v>
      </c>
      <c r="H279">
        <v>0.11</v>
      </c>
      <c r="J279">
        <v>0.17</v>
      </c>
      <c r="K279">
        <v>0.1</v>
      </c>
      <c r="M279">
        <f>M11/M9</f>
        <v>0</v>
      </c>
      <c r="N279">
        <f>N11/N9</f>
        <v>0</v>
      </c>
      <c r="O279">
        <f>O11/O9</f>
        <v>0</v>
      </c>
      <c r="P279">
        <f>P11/P9</f>
        <v>0</v>
      </c>
      <c r="Q279">
        <f>Q11/Q9</f>
        <v>0</v>
      </c>
      <c r="R279">
        <f>R11/R9</f>
        <v>0</v>
      </c>
      <c r="S279">
        <f>S11/S9</f>
        <v>0</v>
      </c>
      <c r="T279">
        <f>T11/T9</f>
        <v>0</v>
      </c>
      <c r="U279">
        <f>U11/U9</f>
        <v>0</v>
      </c>
      <c r="V279">
        <v>0.16</v>
      </c>
      <c r="W279">
        <v>0.12</v>
      </c>
      <c r="X279">
        <v>0.05</v>
      </c>
      <c r="Y279">
        <v>0.18</v>
      </c>
      <c r="Z279">
        <v>0.11</v>
      </c>
      <c r="AA279">
        <v>0.24</v>
      </c>
      <c r="AB279">
        <v>0.17</v>
      </c>
      <c r="AC279">
        <v>0.1</v>
      </c>
      <c r="AD279">
        <v>0.06</v>
      </c>
      <c r="AE279">
        <v>0.19</v>
      </c>
      <c r="AF279">
        <v>0.12</v>
      </c>
      <c r="AG279">
        <v>0.05</v>
      </c>
      <c r="AH279">
        <v>0.18</v>
      </c>
      <c r="AI279">
        <v>0.11</v>
      </c>
      <c r="AJ279">
        <f>AJ11/AJ9</f>
        <v>0</v>
      </c>
      <c r="AK279">
        <v>0.17</v>
      </c>
    </row>
    <row r="280">
      <c r="H280">
        <f>SUM(Y280:Z280)</f>
        <v>0</v>
      </c>
    </row>
    <row r="281">
      <c r="C281" t="str">
        <v>Taiping Product</v>
      </c>
      <c r="D281" t="str">
        <v>%</v>
      </c>
      <c r="F281">
        <v>0.19</v>
      </c>
      <c r="H281">
        <v>0.05</v>
      </c>
      <c r="J281">
        <v>0.11</v>
      </c>
      <c r="K281">
        <v>0.24</v>
      </c>
      <c r="M281">
        <v>18</v>
      </c>
      <c r="N281">
        <v>31</v>
      </c>
      <c r="O281">
        <v>0.19</v>
      </c>
      <c r="P281">
        <v>0.12</v>
      </c>
      <c r="Q281">
        <v>0.05</v>
      </c>
      <c r="R281">
        <v>0.18</v>
      </c>
      <c r="S281">
        <v>0.11</v>
      </c>
      <c r="T281">
        <v>0.07</v>
      </c>
      <c r="U281">
        <v>0.2</v>
      </c>
      <c r="V281">
        <v>0.13</v>
      </c>
      <c r="W281">
        <v>0.06</v>
      </c>
      <c r="X281">
        <v>0.19</v>
      </c>
      <c r="Y281">
        <v>0.12</v>
      </c>
      <c r="Z281">
        <v>0.05</v>
      </c>
      <c r="AA281">
        <v>0.18</v>
      </c>
      <c r="AB281">
        <v>0.14</v>
      </c>
      <c r="AC281">
        <v>0.07</v>
      </c>
      <c r="AD281">
        <v>0.2</v>
      </c>
      <c r="AE281">
        <v>0.13</v>
      </c>
      <c r="AF281">
        <v>0.06</v>
      </c>
      <c r="AG281">
        <v>0.19</v>
      </c>
      <c r="AH281">
        <v>0.12</v>
      </c>
      <c r="AI281">
        <v>0.08</v>
      </c>
      <c r="AJ281">
        <v>0.21</v>
      </c>
    </row>
    <row r="282">
      <c r="C282" t="str">
        <v xml:space="preserve"> - Online channel</v>
      </c>
      <c r="D282" t="str">
        <v>%</v>
      </c>
      <c r="F282">
        <v>41</v>
      </c>
      <c r="H282">
        <v>67</v>
      </c>
      <c r="J282">
        <v>0.08</v>
      </c>
      <c r="K282">
        <v>0.21</v>
      </c>
      <c r="M282">
        <v>35</v>
      </c>
      <c r="N282">
        <v>48</v>
      </c>
      <c r="O282">
        <v>0.16</v>
      </c>
      <c r="P282">
        <v>0.09</v>
      </c>
      <c r="Q282">
        <v>0.22</v>
      </c>
      <c r="R282">
        <v>0.15</v>
      </c>
      <c r="S282">
        <v>0.11</v>
      </c>
      <c r="T282">
        <v>0.24</v>
      </c>
      <c r="U282">
        <v>0.17</v>
      </c>
      <c r="V282">
        <v>0.1</v>
      </c>
      <c r="W282">
        <v>0.23</v>
      </c>
      <c r="X282">
        <v>0.16</v>
      </c>
      <c r="Y282">
        <v>0.09</v>
      </c>
      <c r="Z282">
        <v>0.05</v>
      </c>
      <c r="AA282">
        <v>0.18</v>
      </c>
      <c r="AB282">
        <v>0.11</v>
      </c>
      <c r="AC282">
        <v>0.24</v>
      </c>
      <c r="AD282">
        <v>0.17</v>
      </c>
      <c r="AE282">
        <v>0.1</v>
      </c>
      <c r="AF282">
        <v>0.23</v>
      </c>
      <c r="AG282">
        <v>0.16</v>
      </c>
      <c r="AH282">
        <v>0.12</v>
      </c>
      <c r="AI282">
        <v>0.05</v>
      </c>
      <c r="AJ282">
        <v>0.18</v>
      </c>
    </row>
    <row r="283">
      <c r="C283" t="str">
        <v xml:space="preserve"> - CTG channel</v>
      </c>
      <c r="D283" t="str">
        <v>%</v>
      </c>
      <c r="F283">
        <v>0.13</v>
      </c>
      <c r="H283">
        <v>0.19</v>
      </c>
      <c r="J283">
        <v>0.08</v>
      </c>
      <c r="K283">
        <v>0.21</v>
      </c>
      <c r="M283">
        <f>M23/M14</f>
        <v>0</v>
      </c>
      <c r="N283">
        <f>N23/N14</f>
        <v>0</v>
      </c>
      <c r="O283">
        <v>0.13</v>
      </c>
      <c r="P283">
        <v>0.06</v>
      </c>
      <c r="Q283">
        <v>0.19</v>
      </c>
      <c r="R283">
        <v>0.15</v>
      </c>
      <c r="S283">
        <v>0.08</v>
      </c>
      <c r="T283">
        <v>0.21</v>
      </c>
      <c r="U283">
        <v>0.14</v>
      </c>
      <c r="V283">
        <v>0.07</v>
      </c>
      <c r="W283">
        <v>0.2</v>
      </c>
      <c r="X283">
        <v>0.13</v>
      </c>
      <c r="Y283">
        <v>0.09</v>
      </c>
      <c r="Z283">
        <v>0.22</v>
      </c>
      <c r="AA283">
        <v>0.15</v>
      </c>
      <c r="AB283">
        <v>0.08</v>
      </c>
      <c r="AC283">
        <v>0.21</v>
      </c>
      <c r="AD283">
        <v>0.14</v>
      </c>
      <c r="AE283">
        <v>0.07</v>
      </c>
      <c r="AF283">
        <v>0.2</v>
      </c>
      <c r="AG283">
        <v>0.16</v>
      </c>
      <c r="AH283">
        <v>0.09</v>
      </c>
      <c r="AI283">
        <v>0.22</v>
      </c>
      <c r="AJ283">
        <v>0.15</v>
      </c>
    </row>
    <row r="284">
      <c r="C284" t="str">
        <v>PICC Product</v>
      </c>
      <c r="D284" t="str">
        <v>%</v>
      </c>
      <c r="F284">
        <v>75</v>
      </c>
      <c r="H284">
        <v>21</v>
      </c>
      <c r="J284">
        <v>0.05</v>
      </c>
      <c r="K284">
        <v>0.18</v>
      </c>
      <c r="M284">
        <f>M37/M10</f>
        <v>0</v>
      </c>
      <c r="N284">
        <f>N37/N10</f>
        <v>0</v>
      </c>
      <c r="O284">
        <v>0.1</v>
      </c>
      <c r="P284">
        <v>0.06</v>
      </c>
      <c r="Q284">
        <v>0.19</v>
      </c>
      <c r="R284">
        <v>0.12</v>
      </c>
      <c r="S284">
        <v>0.05</v>
      </c>
      <c r="T284">
        <v>0.18</v>
      </c>
      <c r="U284">
        <v>0.11</v>
      </c>
      <c r="V284">
        <v>0.24</v>
      </c>
      <c r="W284">
        <v>0.17</v>
      </c>
      <c r="X284">
        <v>0.13</v>
      </c>
      <c r="Y284">
        <v>0.06</v>
      </c>
      <c r="Z284">
        <v>0.19</v>
      </c>
      <c r="AA284">
        <v>0.12</v>
      </c>
      <c r="AB284">
        <v>0.05</v>
      </c>
      <c r="AC284">
        <v>0.18</v>
      </c>
      <c r="AD284">
        <v>0.11</v>
      </c>
      <c r="AE284">
        <v>0.07</v>
      </c>
      <c r="AF284">
        <v>0.2</v>
      </c>
      <c r="AG284">
        <v>0.13</v>
      </c>
      <c r="AH284">
        <v>0.06</v>
      </c>
      <c r="AI284">
        <v>0.19</v>
      </c>
      <c r="AJ284">
        <v>0.12</v>
      </c>
    </row>
    <row r="285">
      <c r="C285" t="str">
        <v xml:space="preserve"> - Online channel</v>
      </c>
      <c r="D285" t="str">
        <v>%</v>
      </c>
      <c r="F285">
        <v>0.07</v>
      </c>
      <c r="H285">
        <v>0.16</v>
      </c>
      <c r="J285">
        <v>0.22</v>
      </c>
      <c r="K285">
        <v>0.15</v>
      </c>
      <c r="M285" t="e">
        <f>M39/M37</f>
        <v>#DIV/0!</v>
      </c>
      <c r="N285" t="e">
        <f>N39/N37</f>
        <v>#DIV/0!</v>
      </c>
      <c r="O285">
        <f>O39/O37</f>
        <v>0</v>
      </c>
      <c r="P285">
        <f>P39/P37</f>
        <v>0</v>
      </c>
      <c r="Q285">
        <v>0.16</v>
      </c>
      <c r="R285">
        <v>0.09</v>
      </c>
      <c r="S285">
        <v>0.22</v>
      </c>
      <c r="T285">
        <v>0.15</v>
      </c>
      <c r="U285">
        <v>0.08</v>
      </c>
      <c r="V285">
        <v>0.21</v>
      </c>
      <c r="W285">
        <v>0.17</v>
      </c>
      <c r="X285">
        <v>0.1</v>
      </c>
      <c r="Y285">
        <v>0.23</v>
      </c>
      <c r="Z285">
        <v>0.16</v>
      </c>
      <c r="AA285">
        <v>0.09</v>
      </c>
      <c r="AB285">
        <v>0.22</v>
      </c>
      <c r="AC285">
        <v>0.15</v>
      </c>
      <c r="AD285">
        <v>0.11</v>
      </c>
      <c r="AE285">
        <v>0.24</v>
      </c>
      <c r="AF285">
        <v>0.17</v>
      </c>
      <c r="AG285">
        <v>0.1</v>
      </c>
      <c r="AH285">
        <v>0.23</v>
      </c>
      <c r="AI285">
        <v>0.16</v>
      </c>
      <c r="AJ285">
        <v>0.09</v>
      </c>
    </row>
    <row r="286">
      <c r="C286" t="str">
        <v xml:space="preserve"> - CTG channel</v>
      </c>
      <c r="D286" t="str">
        <v>%</v>
      </c>
      <c r="F286">
        <v>12</v>
      </c>
      <c r="H286">
        <v>38</v>
      </c>
      <c r="J286">
        <v>0.19</v>
      </c>
      <c r="K286">
        <v>0.12</v>
      </c>
      <c r="M286" t="e">
        <f>M46/M37</f>
        <v>#DIV/0!</v>
      </c>
      <c r="N286" t="e">
        <f>N46/N37</f>
        <v>#DIV/0!</v>
      </c>
      <c r="O286">
        <f>O46/O37</f>
        <v>0</v>
      </c>
      <c r="P286">
        <f>P46/P37</f>
        <v>0</v>
      </c>
      <c r="Q286">
        <v>0.13</v>
      </c>
      <c r="R286">
        <v>0.06</v>
      </c>
      <c r="S286">
        <v>0.19</v>
      </c>
      <c r="T286">
        <v>0.12</v>
      </c>
      <c r="U286">
        <v>0.08</v>
      </c>
      <c r="V286">
        <v>0.21</v>
      </c>
      <c r="W286">
        <v>0.14</v>
      </c>
      <c r="X286">
        <v>0.07</v>
      </c>
      <c r="Y286">
        <v>0.2</v>
      </c>
      <c r="Z286">
        <v>0.13</v>
      </c>
      <c r="AA286">
        <v>0.06</v>
      </c>
      <c r="AB286">
        <v>0.19</v>
      </c>
      <c r="AC286">
        <v>0.15</v>
      </c>
      <c r="AD286">
        <v>0.08</v>
      </c>
      <c r="AE286">
        <v>0.21</v>
      </c>
      <c r="AF286">
        <v>0.14</v>
      </c>
      <c r="AG286">
        <v>0.07</v>
      </c>
      <c r="AH286">
        <v>0.2</v>
      </c>
      <c r="AI286">
        <v>0.13</v>
      </c>
      <c r="AJ286">
        <v>0.09</v>
      </c>
    </row>
    <row r="287">
      <c r="C287" t="str">
        <v xml:space="preserve">    -- Offline</v>
      </c>
      <c r="D287" t="str">
        <v>%</v>
      </c>
      <c r="F287">
        <f>H287</f>
        <v>0</v>
      </c>
      <c r="H287">
        <f>SUM(Y287:Z287)</f>
        <v>0</v>
      </c>
      <c r="J287">
        <v>0.16</v>
      </c>
      <c r="K287" t="str">
        <f>X287</f>
        <v>N/A</v>
      </c>
      <c r="M287" t="e">
        <f>M49/M37</f>
        <v>#DIV/0!</v>
      </c>
      <c r="N287" t="e">
        <f>N49/N37</f>
        <v>#DIV/0!</v>
      </c>
      <c r="O287">
        <v>49</v>
      </c>
      <c r="P287">
        <v>62</v>
      </c>
      <c r="Q287">
        <v>0.1</v>
      </c>
      <c r="R287">
        <v>0.23</v>
      </c>
      <c r="S287">
        <v>0.16</v>
      </c>
      <c r="T287">
        <v>0.12</v>
      </c>
      <c r="U287">
        <v>0.05</v>
      </c>
      <c r="V287">
        <v>0.18</v>
      </c>
      <c r="W287">
        <v>0.11</v>
      </c>
      <c r="X287" t="str">
        <v>N/A</v>
      </c>
      <c r="Y287">
        <f>Y49/Y37</f>
        <v>0</v>
      </c>
      <c r="Z287">
        <f>Z49/Z37</f>
        <v>0</v>
      </c>
      <c r="AA287">
        <f>AA49/AA37</f>
        <v>0</v>
      </c>
      <c r="AB287">
        <v>0.19</v>
      </c>
      <c r="AC287">
        <v>0.12</v>
      </c>
      <c r="AD287">
        <v>0.05</v>
      </c>
      <c r="AE287">
        <f>AE49/AE37</f>
        <v>0</v>
      </c>
      <c r="AF287">
        <f>AF49/AF37</f>
        <v>0</v>
      </c>
      <c r="AG287">
        <f>AG49/AG37</f>
        <v>0</v>
      </c>
      <c r="AH287">
        <f>AH49/AH37</f>
        <v>0</v>
      </c>
      <c r="AI287">
        <f>AI49/AI37</f>
        <v>0</v>
      </c>
      <c r="AJ287" t="str">
        <v>N/A</v>
      </c>
    </row>
    <row r="288">
      <c r="C288" t="str">
        <v>Taiping Renewal</v>
      </c>
      <c r="D288" t="str">
        <v>%</v>
      </c>
      <c r="M288" t="e">
        <f>M66/M11</f>
        <v>#DIV/0!</v>
      </c>
      <c r="N288" t="e">
        <f>N66/N11</f>
        <v>#DIV/0!</v>
      </c>
      <c r="O288" t="e">
        <f>O66/O11</f>
        <v>#DIV/0!</v>
      </c>
      <c r="P288" t="e">
        <f>P66/P11</f>
        <v>#DIV/0!</v>
      </c>
      <c r="Q288" t="e">
        <f>Q66/Q11</f>
        <v>#DIV/0!</v>
      </c>
      <c r="R288" t="e">
        <f>R66/R11</f>
        <v>#DIV/0!</v>
      </c>
      <c r="S288" t="e">
        <f>S66/S11</f>
        <v>#DIV/0!</v>
      </c>
      <c r="T288" t="e">
        <f>T66/T11</f>
        <v>#DIV/0!</v>
      </c>
      <c r="U288" t="e">
        <f>U66/U11</f>
        <v>#DIV/0!</v>
      </c>
      <c r="V288">
        <v>60</v>
      </c>
      <c r="W288">
        <v>73</v>
      </c>
      <c r="X288">
        <v>86</v>
      </c>
      <c r="Y288">
        <v>19</v>
      </c>
      <c r="Z288">
        <v>15</v>
      </c>
      <c r="AA288">
        <v>28</v>
      </c>
      <c r="AB288">
        <v>0.16</v>
      </c>
      <c r="AC288">
        <v>0.09</v>
      </c>
      <c r="AD288">
        <v>0.22</v>
      </c>
      <c r="AE288">
        <v>0.15</v>
      </c>
      <c r="AF288">
        <v>0.08</v>
      </c>
      <c r="AG288">
        <v>0.21</v>
      </c>
      <c r="AH288">
        <v>0.17</v>
      </c>
      <c r="AI288">
        <v>0.1</v>
      </c>
      <c r="AJ288" t="e">
        <f>AJ66/AJ11</f>
        <v>#DIV/0!</v>
      </c>
    </row>
    <row r="289">
      <c r="C289" t="str">
        <v>PICC Renewal</v>
      </c>
      <c r="D289" t="str">
        <v>%</v>
      </c>
      <c r="M289" t="e">
        <f>M67/M11</f>
        <v>#DIV/0!</v>
      </c>
      <c r="N289" t="e">
        <f>N67/N11</f>
        <v>#DIV/0!</v>
      </c>
      <c r="O289" t="e">
        <f>O67/O11</f>
        <v>#DIV/0!</v>
      </c>
      <c r="P289" t="e">
        <f>P67/P11</f>
        <v>#DIV/0!</v>
      </c>
      <c r="Q289" t="e">
        <f>Q67/Q11</f>
        <v>#DIV/0!</v>
      </c>
      <c r="R289" t="e">
        <f>R67/R11</f>
        <v>#DIV/0!</v>
      </c>
      <c r="S289" t="e">
        <f>S67/S11</f>
        <v>#DIV/0!</v>
      </c>
      <c r="T289" t="e">
        <f>T67/T11</f>
        <v>#DIV/0!</v>
      </c>
      <c r="U289" t="e">
        <f>U67/U11</f>
        <v>#DIV/0!</v>
      </c>
      <c r="V289">
        <f>V67/V11</f>
        <v>0</v>
      </c>
      <c r="W289">
        <f>W67/W11</f>
        <v>0</v>
      </c>
      <c r="X289">
        <f>X67/X11</f>
        <v>0</v>
      </c>
      <c r="Y289">
        <f>Y67/Y11</f>
        <v>0</v>
      </c>
      <c r="Z289">
        <f>Z67/Z11</f>
        <v>0</v>
      </c>
      <c r="AA289">
        <f>AA67/AA11</f>
        <v>0</v>
      </c>
      <c r="AB289">
        <v>0.13</v>
      </c>
      <c r="AC289">
        <v>0.06</v>
      </c>
      <c r="AD289">
        <v>0.19</v>
      </c>
      <c r="AE289">
        <v>0.12</v>
      </c>
      <c r="AF289">
        <v>0.08</v>
      </c>
      <c r="AG289">
        <v>0.21</v>
      </c>
      <c r="AH289">
        <v>0.14</v>
      </c>
      <c r="AI289">
        <v>0.07</v>
      </c>
      <c r="AJ289" t="e">
        <f>AJ67/AJ11</f>
        <v>#DIV/0!</v>
      </c>
    </row>
    <row r="290">
      <c r="H290">
        <f>SUM(Y290:Z290)</f>
        <v>0</v>
      </c>
    </row>
    <row r="291">
      <c r="C291" t="str">
        <v>Total Commission</v>
      </c>
      <c r="D291" t="str">
        <v>$</v>
      </c>
      <c r="F291">
        <v>10870</v>
      </c>
      <c r="H291">
        <v>10160</v>
      </c>
      <c r="J291">
        <v>10420</v>
      </c>
      <c r="K291">
        <v>10550</v>
      </c>
      <c r="M291">
        <v>10810</v>
      </c>
      <c r="N291">
        <v>10940</v>
      </c>
      <c r="O291">
        <v>10100</v>
      </c>
      <c r="P291">
        <v>10230</v>
      </c>
      <c r="Q291">
        <v>10360</v>
      </c>
      <c r="R291">
        <v>10490</v>
      </c>
      <c r="S291">
        <v>10620</v>
      </c>
      <c r="T291">
        <v>10750</v>
      </c>
      <c r="U291">
        <v>10880</v>
      </c>
      <c r="V291">
        <v>10040</v>
      </c>
      <c r="W291">
        <v>10170</v>
      </c>
      <c r="X291">
        <v>10300</v>
      </c>
      <c r="Y291">
        <v>10430</v>
      </c>
      <c r="Z291">
        <v>10560</v>
      </c>
      <c r="AA291">
        <v>10690</v>
      </c>
      <c r="AB291">
        <v>10820</v>
      </c>
      <c r="AC291">
        <v>10950</v>
      </c>
      <c r="AD291">
        <v>10110</v>
      </c>
      <c r="AE291">
        <v>10240</v>
      </c>
      <c r="AF291">
        <v>10370</v>
      </c>
      <c r="AG291">
        <v>10500</v>
      </c>
      <c r="AH291">
        <v>10630</v>
      </c>
      <c r="AI291">
        <v>10760</v>
      </c>
      <c r="AJ291">
        <v>10890</v>
      </c>
    </row>
    <row r="292">
      <c r="C292" t="str">
        <v xml:space="preserve"> - New Sales</v>
      </c>
      <c r="D292" t="str">
        <v>$</v>
      </c>
      <c r="E292">
        <v>10910</v>
      </c>
      <c r="F292">
        <v>10070</v>
      </c>
      <c r="H292">
        <v>10330</v>
      </c>
      <c r="J292">
        <v>10590</v>
      </c>
      <c r="K292">
        <v>10720</v>
      </c>
      <c r="M292">
        <v>10010</v>
      </c>
      <c r="N292">
        <v>10140</v>
      </c>
      <c r="O292">
        <v>10270</v>
      </c>
      <c r="P292">
        <v>10400</v>
      </c>
      <c r="Q292">
        <v>10530</v>
      </c>
      <c r="R292">
        <v>10660</v>
      </c>
      <c r="S292">
        <v>10790</v>
      </c>
      <c r="T292">
        <v>10920</v>
      </c>
      <c r="U292">
        <v>10080</v>
      </c>
      <c r="V292">
        <v>10210</v>
      </c>
      <c r="W292">
        <v>10340</v>
      </c>
      <c r="X292">
        <v>10470</v>
      </c>
      <c r="Y292">
        <v>10600</v>
      </c>
      <c r="Z292">
        <v>10730</v>
      </c>
      <c r="AA292">
        <v>10860</v>
      </c>
      <c r="AB292">
        <v>10020</v>
      </c>
      <c r="AC292">
        <v>10150</v>
      </c>
      <c r="AD292">
        <v>10280</v>
      </c>
      <c r="AE292">
        <v>10410</v>
      </c>
      <c r="AF292">
        <v>10540</v>
      </c>
      <c r="AG292">
        <v>10670</v>
      </c>
      <c r="AH292">
        <v>10800</v>
      </c>
      <c r="AI292">
        <v>10930</v>
      </c>
      <c r="AJ292">
        <v>10090</v>
      </c>
    </row>
    <row r="293">
      <c r="C293" t="str">
        <v xml:space="preserve"> - Renewal</v>
      </c>
      <c r="D293" t="str">
        <v>$</v>
      </c>
      <c r="F293">
        <v>10240</v>
      </c>
      <c r="H293">
        <v>10500</v>
      </c>
      <c r="J293">
        <v>176</v>
      </c>
      <c r="K293">
        <v>10890</v>
      </c>
      <c r="V293">
        <v>10380</v>
      </c>
      <c r="W293">
        <v>151</v>
      </c>
      <c r="X293">
        <v>10640</v>
      </c>
      <c r="Y293">
        <v>10770</v>
      </c>
      <c r="Z293">
        <v>10900</v>
      </c>
      <c r="AA293">
        <v>10060</v>
      </c>
      <c r="AB293">
        <v>10190</v>
      </c>
      <c r="AC293">
        <v>10320</v>
      </c>
      <c r="AD293">
        <v>10450</v>
      </c>
      <c r="AE293">
        <v>10580</v>
      </c>
      <c r="AF293">
        <v>10710</v>
      </c>
      <c r="AG293">
        <v>10840</v>
      </c>
      <c r="AH293">
        <v>10000</v>
      </c>
      <c r="AI293">
        <v>10130</v>
      </c>
      <c r="AJ293">
        <f>AJ304+AJ307</f>
        <v>0</v>
      </c>
    </row>
    <row r="294">
      <c r="H294">
        <f>SUM(Y294:Z294)</f>
        <v>0</v>
      </c>
    </row>
    <row r="295">
      <c r="C295" t="str">
        <v>Commission Breakup</v>
      </c>
      <c r="D295" t="str">
        <v>$</v>
      </c>
      <c r="F295">
        <v>10580</v>
      </c>
      <c r="H295">
        <v>10840</v>
      </c>
      <c r="J295">
        <v>10130</v>
      </c>
      <c r="K295">
        <v>10260</v>
      </c>
      <c r="M295">
        <v>10520</v>
      </c>
      <c r="N295">
        <v>10650</v>
      </c>
      <c r="O295">
        <v>10780</v>
      </c>
      <c r="P295">
        <v>10910</v>
      </c>
      <c r="Q295">
        <v>10070</v>
      </c>
      <c r="R295">
        <v>10200</v>
      </c>
      <c r="S295">
        <v>10330</v>
      </c>
      <c r="T295">
        <v>10460</v>
      </c>
      <c r="U295">
        <v>10590</v>
      </c>
      <c r="V295">
        <v>10720</v>
      </c>
      <c r="W295">
        <v>10850</v>
      </c>
      <c r="X295">
        <v>10010</v>
      </c>
      <c r="Y295">
        <v>10140</v>
      </c>
      <c r="Z295">
        <v>10270</v>
      </c>
      <c r="AA295">
        <v>10400</v>
      </c>
      <c r="AB295">
        <v>10530</v>
      </c>
      <c r="AC295">
        <v>10660</v>
      </c>
      <c r="AD295">
        <v>10790</v>
      </c>
      <c r="AE295">
        <v>10920</v>
      </c>
      <c r="AF295">
        <v>10080</v>
      </c>
      <c r="AG295">
        <v>10210</v>
      </c>
      <c r="AH295">
        <v>10340</v>
      </c>
      <c r="AI295">
        <v>10470</v>
      </c>
      <c r="AJ295">
        <v>10600</v>
      </c>
    </row>
    <row r="296">
      <c r="C296" t="str">
        <v xml:space="preserve"> - Taiping</v>
      </c>
      <c r="D296" t="str">
        <v>$</v>
      </c>
      <c r="E296">
        <v>10620</v>
      </c>
      <c r="F296">
        <v>10750</v>
      </c>
      <c r="H296">
        <v>10040</v>
      </c>
      <c r="J296">
        <v>10300</v>
      </c>
      <c r="K296">
        <v>10430</v>
      </c>
      <c r="M296">
        <v>10690</v>
      </c>
      <c r="N296">
        <v>10820</v>
      </c>
      <c r="O296">
        <v>10950</v>
      </c>
      <c r="P296">
        <v>10110</v>
      </c>
      <c r="Q296">
        <v>10240</v>
      </c>
      <c r="R296">
        <v>10370</v>
      </c>
      <c r="S296">
        <v>10500</v>
      </c>
      <c r="T296">
        <v>10630</v>
      </c>
      <c r="U296">
        <v>10760</v>
      </c>
      <c r="V296">
        <v>10890</v>
      </c>
      <c r="W296">
        <v>10050</v>
      </c>
      <c r="X296">
        <v>10180</v>
      </c>
      <c r="Y296">
        <v>10310</v>
      </c>
      <c r="Z296">
        <v>10440</v>
      </c>
      <c r="AA296">
        <v>10570</v>
      </c>
      <c r="AB296">
        <v>10700</v>
      </c>
      <c r="AC296">
        <v>10830</v>
      </c>
      <c r="AD296">
        <v>10960</v>
      </c>
      <c r="AE296">
        <v>10120</v>
      </c>
      <c r="AF296">
        <v>10250</v>
      </c>
      <c r="AG296">
        <v>10380</v>
      </c>
      <c r="AH296">
        <v>10510</v>
      </c>
      <c r="AI296">
        <v>10640</v>
      </c>
      <c r="AJ296">
        <v>10770</v>
      </c>
    </row>
    <row r="297">
      <c r="C297" t="str">
        <v xml:space="preserve"> - avg. Com. %</v>
      </c>
      <c r="D297" t="str">
        <v>%</v>
      </c>
      <c r="E297">
        <v>0.24</v>
      </c>
      <c r="F297">
        <f>H297</f>
        <v>0</v>
      </c>
      <c r="J297">
        <v>0.12</v>
      </c>
      <c r="K297">
        <v>0.05</v>
      </c>
      <c r="M297">
        <v>0.11</v>
      </c>
      <c r="N297">
        <v>0.07</v>
      </c>
      <c r="O297">
        <v>0.2</v>
      </c>
      <c r="P297">
        <v>0.13</v>
      </c>
      <c r="Q297">
        <v>0.06</v>
      </c>
      <c r="R297">
        <v>0.19</v>
      </c>
      <c r="S297">
        <v>0.12</v>
      </c>
      <c r="T297">
        <v>0.05</v>
      </c>
      <c r="U297">
        <v>0.18</v>
      </c>
      <c r="V297">
        <v>0.14</v>
      </c>
      <c r="W297">
        <v>0.07</v>
      </c>
      <c r="X297">
        <v>0.2</v>
      </c>
      <c r="Y297">
        <v>0.13</v>
      </c>
      <c r="Z297">
        <v>0.06</v>
      </c>
      <c r="AA297">
        <v>0.19</v>
      </c>
      <c r="AB297">
        <v>0.12</v>
      </c>
      <c r="AC297">
        <v>0.08</v>
      </c>
      <c r="AD297">
        <v>0.21</v>
      </c>
      <c r="AE297">
        <v>0.14</v>
      </c>
      <c r="AF297">
        <v>0.07</v>
      </c>
      <c r="AG297">
        <v>0.2</v>
      </c>
      <c r="AH297">
        <v>0.13</v>
      </c>
      <c r="AI297">
        <v>0.06</v>
      </c>
      <c r="AJ297">
        <v>0.19</v>
      </c>
    </row>
    <row r="298">
      <c r="C298" t="str">
        <v xml:space="preserve"> - Taiping Share</v>
      </c>
      <c r="D298" t="str">
        <v>%</v>
      </c>
      <c r="F298">
        <v>0.17</v>
      </c>
      <c r="H298">
        <v>0.23</v>
      </c>
      <c r="J298">
        <v>0.09</v>
      </c>
      <c r="K298">
        <v>0.22</v>
      </c>
      <c r="M298">
        <v>16</v>
      </c>
      <c r="N298">
        <v>29</v>
      </c>
      <c r="O298">
        <v>0.17</v>
      </c>
      <c r="P298">
        <v>0.1</v>
      </c>
      <c r="Q298">
        <v>0.23</v>
      </c>
      <c r="R298">
        <v>0.16</v>
      </c>
      <c r="S298">
        <v>0.09</v>
      </c>
      <c r="T298">
        <v>0.05</v>
      </c>
      <c r="U298">
        <v>0.18</v>
      </c>
      <c r="V298">
        <v>0.11</v>
      </c>
      <c r="W298">
        <v>0.24</v>
      </c>
      <c r="X298">
        <v>0.17</v>
      </c>
      <c r="Y298">
        <v>0.1</v>
      </c>
      <c r="Z298">
        <v>0.23</v>
      </c>
      <c r="AA298">
        <v>0.16</v>
      </c>
      <c r="AB298">
        <v>0.12</v>
      </c>
      <c r="AC298">
        <v>0.05</v>
      </c>
      <c r="AD298">
        <v>0.18</v>
      </c>
      <c r="AE298">
        <v>0.11</v>
      </c>
      <c r="AF298">
        <v>0.24</v>
      </c>
      <c r="AG298">
        <v>0.17</v>
      </c>
      <c r="AH298">
        <v>0.1</v>
      </c>
      <c r="AI298">
        <v>0.06</v>
      </c>
      <c r="AJ298">
        <v>0.19</v>
      </c>
    </row>
    <row r="299">
      <c r="C299" t="str">
        <v xml:space="preserve"> - PICC</v>
      </c>
      <c r="D299" t="str">
        <v>$</v>
      </c>
      <c r="F299">
        <v>10290</v>
      </c>
      <c r="H299">
        <v>10550</v>
      </c>
      <c r="J299">
        <v>10810</v>
      </c>
      <c r="K299">
        <v>10940</v>
      </c>
      <c r="O299">
        <v>149</v>
      </c>
      <c r="P299">
        <v>162</v>
      </c>
      <c r="Q299">
        <v>10750</v>
      </c>
      <c r="R299">
        <v>10880</v>
      </c>
      <c r="S299">
        <v>10040</v>
      </c>
      <c r="T299">
        <v>10170</v>
      </c>
      <c r="U299">
        <v>10300</v>
      </c>
      <c r="V299">
        <v>10430</v>
      </c>
      <c r="W299">
        <v>10560</v>
      </c>
      <c r="X299">
        <v>10690</v>
      </c>
      <c r="Y299">
        <v>10820</v>
      </c>
      <c r="Z299">
        <v>10950</v>
      </c>
      <c r="AA299">
        <v>10110</v>
      </c>
      <c r="AB299">
        <v>10240</v>
      </c>
      <c r="AC299">
        <v>10370</v>
      </c>
      <c r="AD299">
        <v>10500</v>
      </c>
      <c r="AE299">
        <v>10630</v>
      </c>
      <c r="AF299">
        <v>10760</v>
      </c>
      <c r="AG299">
        <v>10890</v>
      </c>
      <c r="AH299">
        <v>10050</v>
      </c>
      <c r="AI299">
        <v>10180</v>
      </c>
      <c r="AJ299">
        <v>10310</v>
      </c>
    </row>
    <row r="300">
      <c r="C300" t="str">
        <v xml:space="preserve"> - avg. Com. %</v>
      </c>
      <c r="D300" t="str">
        <v>%</v>
      </c>
      <c r="F300">
        <f>H300</f>
        <v>0</v>
      </c>
      <c r="J300">
        <v>0.06</v>
      </c>
      <c r="K300">
        <v>0.19</v>
      </c>
      <c r="O300">
        <v>0.11</v>
      </c>
      <c r="P300">
        <v>0.24</v>
      </c>
      <c r="Q300">
        <v>0.17</v>
      </c>
      <c r="R300">
        <v>0.13</v>
      </c>
      <c r="S300">
        <v>0.06</v>
      </c>
      <c r="T300">
        <v>0.19</v>
      </c>
      <c r="U300">
        <v>0.12</v>
      </c>
      <c r="V300">
        <v>0.05</v>
      </c>
      <c r="W300">
        <v>0.18</v>
      </c>
      <c r="X300">
        <v>0.11</v>
      </c>
      <c r="Y300">
        <v>0.07</v>
      </c>
      <c r="Z300">
        <v>0.2</v>
      </c>
      <c r="AA300">
        <v>0.13</v>
      </c>
      <c r="AB300">
        <v>0.06</v>
      </c>
      <c r="AC300">
        <v>0.19</v>
      </c>
      <c r="AD300">
        <v>0.12</v>
      </c>
      <c r="AE300">
        <v>0.05</v>
      </c>
      <c r="AF300">
        <v>0.18</v>
      </c>
      <c r="AG300">
        <v>0.14</v>
      </c>
      <c r="AH300">
        <v>0.07</v>
      </c>
      <c r="AI300">
        <v>0.2</v>
      </c>
      <c r="AJ300">
        <v>0.13</v>
      </c>
    </row>
    <row r="301">
      <c r="C301" t="str">
        <v xml:space="preserve"> - PICC Share</v>
      </c>
      <c r="D301" t="str">
        <v>%</v>
      </c>
      <c r="F301">
        <v>0.08</v>
      </c>
      <c r="H301">
        <v>0.14</v>
      </c>
      <c r="J301">
        <v>0.23</v>
      </c>
      <c r="K301">
        <v>0.16</v>
      </c>
      <c r="M301">
        <f>M299/M295</f>
        <v>0</v>
      </c>
      <c r="N301">
        <f>N299/N295</f>
        <v>0</v>
      </c>
      <c r="O301">
        <v>0.08</v>
      </c>
      <c r="P301">
        <v>0.21</v>
      </c>
      <c r="Q301">
        <v>0.17</v>
      </c>
      <c r="R301">
        <v>0.1</v>
      </c>
      <c r="S301">
        <v>0.23</v>
      </c>
      <c r="T301">
        <v>0.16</v>
      </c>
      <c r="U301">
        <v>0.09</v>
      </c>
      <c r="V301">
        <v>0.22</v>
      </c>
      <c r="W301">
        <v>0.15</v>
      </c>
      <c r="X301">
        <v>0.11</v>
      </c>
      <c r="Y301">
        <v>0.24</v>
      </c>
      <c r="Z301">
        <v>0.17</v>
      </c>
      <c r="AA301">
        <v>0.1</v>
      </c>
      <c r="AB301">
        <v>0.23</v>
      </c>
      <c r="AC301">
        <v>0.16</v>
      </c>
      <c r="AD301">
        <v>0.09</v>
      </c>
      <c r="AE301">
        <v>0.05</v>
      </c>
      <c r="AF301">
        <v>0.18</v>
      </c>
      <c r="AG301">
        <v>0.11</v>
      </c>
      <c r="AH301">
        <v>0.24</v>
      </c>
      <c r="AI301">
        <v>0.17</v>
      </c>
      <c r="AJ301">
        <v>0.1</v>
      </c>
    </row>
    <row r="303">
      <c r="C303" t="str">
        <v>Commission Breakup (Renewal)</v>
      </c>
      <c r="D303" t="str">
        <v>$</v>
      </c>
      <c r="N303">
        <f>N304+N307</f>
        <v>0</v>
      </c>
      <c r="O303">
        <f>O304+O307</f>
        <v>0</v>
      </c>
      <c r="P303">
        <f>P304+P307</f>
        <v>0</v>
      </c>
      <c r="Q303">
        <f>Q304+Q307</f>
        <v>0</v>
      </c>
      <c r="R303">
        <f>R304+R307</f>
        <v>0</v>
      </c>
      <c r="S303">
        <f>S304+S307</f>
        <v>0</v>
      </c>
      <c r="T303">
        <f>T304+T307</f>
        <v>0</v>
      </c>
      <c r="U303">
        <f>U304+U307</f>
        <v>0</v>
      </c>
      <c r="V303">
        <v>10140</v>
      </c>
      <c r="W303">
        <v>127</v>
      </c>
      <c r="X303">
        <v>10400</v>
      </c>
      <c r="Y303">
        <v>10530</v>
      </c>
      <c r="Z303">
        <v>10660</v>
      </c>
      <c r="AA303">
        <v>10790</v>
      </c>
      <c r="AB303">
        <v>10920</v>
      </c>
      <c r="AC303">
        <v>10080</v>
      </c>
      <c r="AD303">
        <v>10210</v>
      </c>
      <c r="AE303">
        <v>10340</v>
      </c>
      <c r="AF303">
        <v>10470</v>
      </c>
      <c r="AG303">
        <v>10600</v>
      </c>
      <c r="AH303">
        <v>10730</v>
      </c>
      <c r="AI303">
        <v>10860</v>
      </c>
      <c r="AJ303">
        <f>AJ304+AJ307</f>
        <v>0</v>
      </c>
    </row>
    <row r="304">
      <c r="C304" t="str">
        <v>Taiping Renewal</v>
      </c>
      <c r="D304" t="str">
        <v>$</v>
      </c>
      <c r="N304">
        <f>N66*0.25</f>
        <v>0</v>
      </c>
      <c r="O304">
        <f>O66*0.25</f>
        <v>0</v>
      </c>
      <c r="P304">
        <f>P66*0.25</f>
        <v>0</v>
      </c>
      <c r="Q304">
        <f>Q66*0.25</f>
        <v>0</v>
      </c>
      <c r="R304">
        <f>R66*0.25</f>
        <v>0</v>
      </c>
      <c r="S304">
        <f>S66*0.25</f>
        <v>0</v>
      </c>
      <c r="T304">
        <f>T66*0.25</f>
        <v>0</v>
      </c>
      <c r="U304">
        <f>U66*0.25</f>
        <v>0</v>
      </c>
      <c r="V304">
        <v>10310</v>
      </c>
      <c r="W304">
        <v>144</v>
      </c>
      <c r="X304">
        <v>10570</v>
      </c>
      <c r="Y304">
        <v>10700</v>
      </c>
      <c r="Z304">
        <v>10830</v>
      </c>
      <c r="AA304">
        <v>10960</v>
      </c>
      <c r="AB304">
        <v>10120</v>
      </c>
      <c r="AC304">
        <v>125</v>
      </c>
      <c r="AD304">
        <v>138</v>
      </c>
      <c r="AE304">
        <v>10510</v>
      </c>
      <c r="AF304">
        <v>10640</v>
      </c>
      <c r="AG304">
        <v>10770</v>
      </c>
      <c r="AH304">
        <v>10900</v>
      </c>
      <c r="AI304">
        <v>10060</v>
      </c>
      <c r="AJ304">
        <f>AJ66*0.25</f>
        <v>0</v>
      </c>
    </row>
    <row r="305">
      <c r="C305" t="str">
        <v xml:space="preserve"> - avg. Com. %</v>
      </c>
      <c r="D305" t="str">
        <v>%</v>
      </c>
      <c r="N305" t="e">
        <f>N304/N66</f>
        <v>#DIV/0!</v>
      </c>
      <c r="O305" t="e">
        <f>O304/O66</f>
        <v>#DIV/0!</v>
      </c>
      <c r="P305" t="e">
        <f>P304/P66</f>
        <v>#DIV/0!</v>
      </c>
      <c r="Q305" t="e">
        <f>Q304/Q66</f>
        <v>#DIV/0!</v>
      </c>
      <c r="R305" t="e">
        <f>R304/R66</f>
        <v>#DIV/0!</v>
      </c>
      <c r="S305" t="e">
        <f>S304/S66</f>
        <v>#DIV/0!</v>
      </c>
      <c r="T305" t="e">
        <f>T304/T66</f>
        <v>#DIV/0!</v>
      </c>
      <c r="U305" t="e">
        <f>U304/U66</f>
        <v>#DIV/0!</v>
      </c>
      <c r="V305">
        <v>0.13</v>
      </c>
      <c r="W305">
        <v>0.06</v>
      </c>
      <c r="X305">
        <v>0.19</v>
      </c>
      <c r="Y305">
        <v>0.12</v>
      </c>
      <c r="Z305">
        <v>0.08</v>
      </c>
      <c r="AA305">
        <v>0.21</v>
      </c>
      <c r="AB305">
        <v>0.14</v>
      </c>
      <c r="AC305">
        <v>0.07</v>
      </c>
      <c r="AD305">
        <v>0.2</v>
      </c>
      <c r="AE305">
        <v>0.13</v>
      </c>
      <c r="AF305">
        <v>0.06</v>
      </c>
      <c r="AG305">
        <v>0.19</v>
      </c>
      <c r="AH305">
        <v>0.15</v>
      </c>
      <c r="AI305">
        <v>0.08</v>
      </c>
      <c r="AJ305" t="e">
        <f>AJ304/AJ66</f>
        <v>#DIV/0!</v>
      </c>
    </row>
    <row r="306">
      <c r="C306" t="str">
        <v xml:space="preserve"> - Taiping Share</v>
      </c>
      <c r="D306" t="str">
        <v>%</v>
      </c>
      <c r="N306" t="e">
        <f>N304/N303</f>
        <v>#DIV/0!</v>
      </c>
      <c r="O306" t="e">
        <f>O304/O303</f>
        <v>#DIV/0!</v>
      </c>
      <c r="P306" t="e">
        <f>P304/P303</f>
        <v>#DIV/0!</v>
      </c>
      <c r="Q306" t="e">
        <f>Q304/Q303</f>
        <v>#DIV/0!</v>
      </c>
      <c r="R306" t="e">
        <f>R304/R303</f>
        <v>#DIV/0!</v>
      </c>
      <c r="S306" t="e">
        <f>S304/S303</f>
        <v>#DIV/0!</v>
      </c>
      <c r="T306" t="e">
        <f>T304/T303</f>
        <v>#DIV/0!</v>
      </c>
      <c r="U306" t="e">
        <f>U304/U303</f>
        <v>#DIV/0!</v>
      </c>
      <c r="V306">
        <v>75</v>
      </c>
      <c r="W306">
        <v>88</v>
      </c>
      <c r="X306">
        <v>21</v>
      </c>
      <c r="Y306">
        <v>17</v>
      </c>
      <c r="Z306">
        <v>30</v>
      </c>
      <c r="AA306">
        <v>43</v>
      </c>
      <c r="AB306">
        <v>0.11</v>
      </c>
      <c r="AC306">
        <v>0.24</v>
      </c>
      <c r="AD306">
        <v>0.17</v>
      </c>
      <c r="AE306">
        <v>0.1</v>
      </c>
      <c r="AF306">
        <v>0.06</v>
      </c>
      <c r="AG306">
        <v>0.19</v>
      </c>
      <c r="AH306">
        <v>0.12</v>
      </c>
      <c r="AI306">
        <v>0.05</v>
      </c>
      <c r="AJ306" t="e">
        <f>AJ304/AJ303</f>
        <v>#DIV/0!</v>
      </c>
    </row>
    <row r="307">
      <c r="C307" t="str">
        <v>PICC Renewal</v>
      </c>
      <c r="D307" t="str">
        <v>$</v>
      </c>
      <c r="Y307">
        <f>Y67*0.15/1.06</f>
        <v>0</v>
      </c>
      <c r="Z307">
        <f>Z67*0.15/1.06</f>
        <v>0</v>
      </c>
      <c r="AA307">
        <f>AA67*0.15/1.06</f>
        <v>0</v>
      </c>
      <c r="AB307">
        <v>163</v>
      </c>
      <c r="AC307">
        <v>10760</v>
      </c>
      <c r="AD307">
        <v>10890</v>
      </c>
      <c r="AE307">
        <v>10050</v>
      </c>
      <c r="AF307">
        <v>10180</v>
      </c>
      <c r="AG307">
        <v>10310</v>
      </c>
      <c r="AH307">
        <v>10440</v>
      </c>
      <c r="AI307">
        <v>10570</v>
      </c>
      <c r="AJ307">
        <f>AJ67*0.15/1.06</f>
        <v>0</v>
      </c>
    </row>
    <row r="308">
      <c r="C308" t="str">
        <v xml:space="preserve"> - avg. Com. %</v>
      </c>
      <c r="D308" t="str">
        <v>%</v>
      </c>
      <c r="N308" t="e">
        <f>N307/N67</f>
        <v>#DIV/0!</v>
      </c>
      <c r="O308" t="e">
        <f>O307/O67</f>
        <v>#DIV/0!</v>
      </c>
      <c r="P308" t="e">
        <f>P307/P67</f>
        <v>#DIV/0!</v>
      </c>
      <c r="Q308" t="e">
        <f>Q307/Q67</f>
        <v>#DIV/0!</v>
      </c>
      <c r="R308" t="e">
        <f>R307/R67</f>
        <v>#DIV/0!</v>
      </c>
      <c r="S308" t="e">
        <f>S307/S67</f>
        <v>#DIV/0!</v>
      </c>
      <c r="T308" t="e">
        <f>T307/T67</f>
        <v>#DIV/0!</v>
      </c>
      <c r="U308" t="e">
        <f>U307/U67</f>
        <v>#DIV/0!</v>
      </c>
      <c r="V308" t="e">
        <f>V307/V67</f>
        <v>#DIV/0!</v>
      </c>
      <c r="W308" t="e">
        <f>W307/W67</f>
        <v>#DIV/0!</v>
      </c>
      <c r="X308" t="e">
        <f>X307/X67</f>
        <v>#DIV/0!</v>
      </c>
      <c r="Y308" t="e">
        <f>Y307/Y67</f>
        <v>#DIV/0!</v>
      </c>
      <c r="Z308" t="e">
        <f>Z307/Z67</f>
        <v>#DIV/0!</v>
      </c>
      <c r="AA308" t="e">
        <f>AA307/AA67</f>
        <v>#DIV/0!</v>
      </c>
      <c r="AB308">
        <v>0.05</v>
      </c>
      <c r="AC308">
        <v>0.18</v>
      </c>
      <c r="AD308">
        <v>0.14</v>
      </c>
      <c r="AE308">
        <v>0.07</v>
      </c>
      <c r="AF308">
        <v>0.2</v>
      </c>
      <c r="AG308">
        <v>0.13</v>
      </c>
      <c r="AH308">
        <v>0.06</v>
      </c>
      <c r="AI308">
        <v>0.19</v>
      </c>
      <c r="AJ308" t="e">
        <f>AJ307/AJ67</f>
        <v>#DIV/0!</v>
      </c>
    </row>
    <row r="309">
      <c r="C309" t="str">
        <v xml:space="preserve"> - PICC Share</v>
      </c>
      <c r="D309" t="str">
        <v>%</v>
      </c>
      <c r="N309" t="e">
        <f>N307/N303</f>
        <v>#DIV/0!</v>
      </c>
      <c r="O309" t="e">
        <f>O307/O303</f>
        <v>#DIV/0!</v>
      </c>
      <c r="P309" t="e">
        <f>P307/P303</f>
        <v>#DIV/0!</v>
      </c>
      <c r="Q309" t="e">
        <f>Q307/Q303</f>
        <v>#DIV/0!</v>
      </c>
      <c r="R309" t="e">
        <f>R307/R303</f>
        <v>#DIV/0!</v>
      </c>
      <c r="S309" t="e">
        <f>S307/S303</f>
        <v>#DIV/0!</v>
      </c>
      <c r="T309" t="e">
        <f>T307/T303</f>
        <v>#DIV/0!</v>
      </c>
      <c r="U309" t="e">
        <f>U307/U303</f>
        <v>#DIV/0!</v>
      </c>
      <c r="V309">
        <f>V307/V303</f>
        <v>0</v>
      </c>
      <c r="W309">
        <f>W307/W303</f>
        <v>0</v>
      </c>
      <c r="X309">
        <f>X307/X303</f>
        <v>0</v>
      </c>
      <c r="Y309">
        <f>Y307/Y303</f>
        <v>0</v>
      </c>
      <c r="Z309">
        <f>Z307/Z303</f>
        <v>0</v>
      </c>
      <c r="AA309">
        <f>AA307/AA303</f>
        <v>0</v>
      </c>
      <c r="AB309">
        <v>0.05</v>
      </c>
      <c r="AC309">
        <v>0.18</v>
      </c>
      <c r="AD309">
        <v>0.11</v>
      </c>
      <c r="AE309">
        <v>0.24</v>
      </c>
      <c r="AF309">
        <v>0.17</v>
      </c>
      <c r="AG309">
        <v>0.1</v>
      </c>
      <c r="AH309">
        <v>0.23</v>
      </c>
      <c r="AI309">
        <v>0.16</v>
      </c>
      <c r="AJ309" t="e">
        <f>AJ307/AJ303</f>
        <v>#DIV/0!</v>
      </c>
    </row>
    <row r="310">
      <c r="H310">
        <f>SUM(Y310:Z310)</f>
        <v>0</v>
      </c>
    </row>
    <row r="311">
      <c r="C311" t="str">
        <v>SEM Report</v>
      </c>
      <c r="H311">
        <f>SUM(Y311:Z311)</f>
        <v>0</v>
      </c>
    </row>
    <row r="312">
      <c r="C312" t="str">
        <v>- Impression</v>
      </c>
      <c r="D312" t="str">
        <v>#</v>
      </c>
      <c r="F312">
        <v>10560</v>
      </c>
      <c r="H312">
        <v>10820</v>
      </c>
      <c r="R312">
        <v>118</v>
      </c>
      <c r="S312">
        <v>131</v>
      </c>
      <c r="T312">
        <v>144</v>
      </c>
      <c r="U312">
        <v>157</v>
      </c>
      <c r="V312">
        <v>170</v>
      </c>
      <c r="W312">
        <v>183</v>
      </c>
      <c r="X312">
        <v>196</v>
      </c>
      <c r="Y312">
        <v>10120</v>
      </c>
      <c r="Z312">
        <v>10250</v>
      </c>
      <c r="AA312">
        <v>10380</v>
      </c>
      <c r="AB312">
        <v>151</v>
      </c>
      <c r="AC312">
        <v>164</v>
      </c>
      <c r="AD312">
        <v>177</v>
      </c>
      <c r="AE312">
        <v>10900</v>
      </c>
      <c r="AF312">
        <v>10060</v>
      </c>
      <c r="AG312">
        <v>10190</v>
      </c>
      <c r="AH312">
        <v>10320</v>
      </c>
      <c r="AI312">
        <v>10450</v>
      </c>
      <c r="AJ312">
        <v>10580</v>
      </c>
      <c r="AK312">
        <v>10710</v>
      </c>
      <c r="AL312">
        <v>10840</v>
      </c>
      <c r="AM312">
        <v>10000</v>
      </c>
      <c r="AN312">
        <v>10130</v>
      </c>
      <c r="AO312">
        <v>10260</v>
      </c>
      <c r="AP312">
        <v>10390</v>
      </c>
      <c r="AQ312">
        <v>10520</v>
      </c>
      <c r="AR312">
        <v>10650</v>
      </c>
      <c r="AS312">
        <v>10780</v>
      </c>
    </row>
    <row r="313">
      <c r="C313" t="str">
        <v>- Clicks</v>
      </c>
      <c r="D313" t="str">
        <v>#</v>
      </c>
      <c r="F313">
        <v>173</v>
      </c>
      <c r="H313">
        <v>10020</v>
      </c>
      <c r="R313">
        <v>135</v>
      </c>
      <c r="S313">
        <v>148</v>
      </c>
      <c r="T313">
        <v>161</v>
      </c>
      <c r="U313">
        <v>174</v>
      </c>
      <c r="V313">
        <v>187</v>
      </c>
      <c r="W313">
        <v>103</v>
      </c>
      <c r="X313">
        <v>116</v>
      </c>
      <c r="Y313">
        <v>129</v>
      </c>
      <c r="Z313">
        <v>142</v>
      </c>
      <c r="AA313">
        <v>155</v>
      </c>
      <c r="AB313">
        <v>168</v>
      </c>
      <c r="AC313">
        <v>181</v>
      </c>
      <c r="AD313">
        <v>194</v>
      </c>
      <c r="AE313">
        <v>110</v>
      </c>
      <c r="AF313">
        <v>123</v>
      </c>
      <c r="AG313">
        <v>136</v>
      </c>
      <c r="AH313">
        <v>149</v>
      </c>
      <c r="AI313">
        <v>162</v>
      </c>
      <c r="AJ313">
        <v>175</v>
      </c>
      <c r="AK313">
        <v>188</v>
      </c>
      <c r="AL313">
        <v>104</v>
      </c>
      <c r="AM313">
        <v>117</v>
      </c>
      <c r="AN313">
        <v>130</v>
      </c>
      <c r="AO313">
        <v>143</v>
      </c>
      <c r="AP313">
        <v>156</v>
      </c>
      <c r="AQ313">
        <v>169</v>
      </c>
      <c r="AR313">
        <v>182</v>
      </c>
      <c r="AS313">
        <v>195</v>
      </c>
    </row>
    <row r="314">
      <c r="C314" t="str">
        <v>- CTR(ClickThrough Rate)</v>
      </c>
      <c r="D314" t="str">
        <v>%</v>
      </c>
      <c r="F314">
        <v>0.15</v>
      </c>
      <c r="H314">
        <v>0.24</v>
      </c>
      <c r="R314">
        <v>0.17</v>
      </c>
      <c r="S314">
        <v>0.1</v>
      </c>
      <c r="T314">
        <v>0.23</v>
      </c>
      <c r="U314">
        <v>0.16</v>
      </c>
      <c r="V314">
        <v>0.12</v>
      </c>
      <c r="W314">
        <v>0.05</v>
      </c>
      <c r="X314">
        <v>0.18</v>
      </c>
      <c r="Y314">
        <v>0.11</v>
      </c>
      <c r="Z314">
        <v>0.24</v>
      </c>
      <c r="AA314">
        <v>0.17</v>
      </c>
      <c r="AB314">
        <v>0.1</v>
      </c>
      <c r="AC314">
        <v>0.06</v>
      </c>
      <c r="AD314">
        <v>0.19</v>
      </c>
      <c r="AE314">
        <v>0.12</v>
      </c>
      <c r="AF314">
        <v>0.05</v>
      </c>
      <c r="AG314">
        <v>0.18</v>
      </c>
      <c r="AH314">
        <v>0.11</v>
      </c>
      <c r="AI314">
        <v>0.24</v>
      </c>
      <c r="AJ314">
        <v>0.17</v>
      </c>
      <c r="AK314">
        <v>0.13</v>
      </c>
      <c r="AL314">
        <v>0.06</v>
      </c>
      <c r="AM314">
        <v>0.19</v>
      </c>
      <c r="AN314">
        <v>0.12</v>
      </c>
      <c r="AO314">
        <v>0.05</v>
      </c>
      <c r="AP314">
        <v>0.18</v>
      </c>
      <c r="AQ314">
        <v>0.11</v>
      </c>
      <c r="AR314">
        <v>0.07</v>
      </c>
      <c r="AS314">
        <v>0.2</v>
      </c>
    </row>
    <row r="315">
      <c r="C315" t="str">
        <v>- Cost</v>
      </c>
      <c r="D315" t="str">
        <v>$</v>
      </c>
      <c r="F315">
        <v>10100</v>
      </c>
      <c r="H315">
        <v>10360</v>
      </c>
      <c r="R315">
        <v>169</v>
      </c>
      <c r="S315">
        <v>182</v>
      </c>
      <c r="T315">
        <v>10950</v>
      </c>
      <c r="U315">
        <v>10110</v>
      </c>
      <c r="V315">
        <v>10240</v>
      </c>
      <c r="W315">
        <v>10370</v>
      </c>
      <c r="X315">
        <v>10500</v>
      </c>
      <c r="Y315">
        <v>10630</v>
      </c>
      <c r="Z315">
        <v>10760</v>
      </c>
      <c r="AA315">
        <v>10890</v>
      </c>
      <c r="AB315">
        <v>10050</v>
      </c>
      <c r="AC315">
        <v>10180</v>
      </c>
      <c r="AD315">
        <v>10310</v>
      </c>
      <c r="AE315">
        <v>10440</v>
      </c>
      <c r="AF315">
        <v>10570</v>
      </c>
      <c r="AG315">
        <v>10700</v>
      </c>
      <c r="AH315">
        <v>10830</v>
      </c>
      <c r="AI315">
        <v>10960</v>
      </c>
      <c r="AJ315">
        <v>10120</v>
      </c>
      <c r="AK315">
        <v>10250</v>
      </c>
      <c r="AL315">
        <v>10380</v>
      </c>
      <c r="AM315">
        <v>10510</v>
      </c>
      <c r="AN315">
        <v>10640</v>
      </c>
      <c r="AO315">
        <v>10770</v>
      </c>
      <c r="AP315">
        <v>10900</v>
      </c>
      <c r="AQ315">
        <v>10060</v>
      </c>
      <c r="AR315">
        <v>10190</v>
      </c>
      <c r="AS315">
        <v>10320</v>
      </c>
    </row>
    <row r="316">
      <c r="C316" t="str">
        <v>- CPC(Cost Per Click)</v>
      </c>
      <c r="D316" t="str">
        <v>$</v>
      </c>
      <c r="F316">
        <v>37</v>
      </c>
      <c r="H316">
        <v>63</v>
      </c>
      <c r="R316">
        <v>16</v>
      </c>
      <c r="S316">
        <v>12</v>
      </c>
      <c r="T316">
        <v>25</v>
      </c>
      <c r="U316">
        <v>38</v>
      </c>
      <c r="V316">
        <v>51</v>
      </c>
      <c r="W316">
        <v>64</v>
      </c>
      <c r="X316">
        <v>77</v>
      </c>
      <c r="Y316">
        <v>10</v>
      </c>
      <c r="Z316">
        <v>23</v>
      </c>
      <c r="AA316">
        <v>19</v>
      </c>
      <c r="AB316">
        <v>32</v>
      </c>
      <c r="AC316">
        <v>45</v>
      </c>
      <c r="AD316">
        <v>58</v>
      </c>
      <c r="AE316">
        <v>71</v>
      </c>
      <c r="AF316">
        <v>84</v>
      </c>
      <c r="AG316">
        <v>17</v>
      </c>
      <c r="AH316">
        <v>13</v>
      </c>
      <c r="AI316">
        <v>26</v>
      </c>
      <c r="AJ316">
        <v>39</v>
      </c>
      <c r="AK316">
        <v>52</v>
      </c>
      <c r="AL316">
        <v>65</v>
      </c>
      <c r="AM316">
        <v>78</v>
      </c>
      <c r="AN316">
        <v>11</v>
      </c>
      <c r="AO316">
        <v>24</v>
      </c>
      <c r="AP316">
        <v>20</v>
      </c>
      <c r="AQ316">
        <v>33</v>
      </c>
      <c r="AR316">
        <v>46</v>
      </c>
      <c r="AS316">
        <v>59</v>
      </c>
    </row>
    <row r="317">
      <c r="C317" t="str">
        <v>-Coversion</v>
      </c>
      <c r="D317" t="str">
        <v>#</v>
      </c>
      <c r="F317">
        <v>144</v>
      </c>
      <c r="H317">
        <v>170</v>
      </c>
      <c r="R317" t="str">
        <v>N/A</v>
      </c>
      <c r="S317">
        <v>29</v>
      </c>
      <c r="T317">
        <v>42</v>
      </c>
      <c r="U317">
        <v>145</v>
      </c>
      <c r="V317">
        <v>68</v>
      </c>
      <c r="W317">
        <v>81</v>
      </c>
      <c r="X317">
        <v>14</v>
      </c>
      <c r="Y317">
        <v>100</v>
      </c>
      <c r="Z317">
        <v>113</v>
      </c>
      <c r="AA317">
        <v>126</v>
      </c>
      <c r="AB317">
        <v>49</v>
      </c>
      <c r="AC317">
        <v>62</v>
      </c>
      <c r="AD317">
        <v>75</v>
      </c>
      <c r="AE317">
        <v>88</v>
      </c>
      <c r="AF317">
        <v>21</v>
      </c>
      <c r="AG317">
        <v>17</v>
      </c>
      <c r="AH317">
        <v>30</v>
      </c>
      <c r="AI317">
        <v>43</v>
      </c>
      <c r="AJ317">
        <v>56</v>
      </c>
      <c r="AK317">
        <v>69</v>
      </c>
      <c r="AL317">
        <v>82</v>
      </c>
      <c r="AM317">
        <v>15</v>
      </c>
      <c r="AN317">
        <v>11</v>
      </c>
      <c r="AO317">
        <v>24</v>
      </c>
      <c r="AP317">
        <v>37</v>
      </c>
      <c r="AQ317">
        <v>50</v>
      </c>
      <c r="AR317">
        <v>63</v>
      </c>
      <c r="AS317">
        <v>76</v>
      </c>
    </row>
    <row r="318">
      <c r="C318" t="str">
        <v>-CPA(Cost Per Acquisition)</v>
      </c>
      <c r="D318" t="str">
        <v>$</v>
      </c>
      <c r="F318">
        <v>161</v>
      </c>
      <c r="H318">
        <v>187</v>
      </c>
      <c r="R318" t="str">
        <v>N/A</v>
      </c>
      <c r="S318">
        <v>136</v>
      </c>
      <c r="T318">
        <v>149</v>
      </c>
      <c r="U318">
        <v>162</v>
      </c>
      <c r="V318">
        <v>175</v>
      </c>
      <c r="W318">
        <v>188</v>
      </c>
      <c r="X318">
        <v>104</v>
      </c>
      <c r="Y318">
        <v>117</v>
      </c>
      <c r="Z318">
        <v>130</v>
      </c>
      <c r="AA318">
        <v>143</v>
      </c>
      <c r="AB318">
        <v>156</v>
      </c>
      <c r="AC318">
        <v>169</v>
      </c>
      <c r="AD318">
        <v>182</v>
      </c>
      <c r="AE318">
        <v>195</v>
      </c>
      <c r="AF318">
        <v>111</v>
      </c>
      <c r="AG318">
        <v>124</v>
      </c>
      <c r="AH318">
        <v>137</v>
      </c>
      <c r="AI318">
        <v>150</v>
      </c>
      <c r="AJ318">
        <v>163</v>
      </c>
      <c r="AK318">
        <v>176</v>
      </c>
      <c r="AL318">
        <v>189</v>
      </c>
      <c r="AM318">
        <v>105</v>
      </c>
      <c r="AN318">
        <v>118</v>
      </c>
      <c r="AO318">
        <v>131</v>
      </c>
      <c r="AP318">
        <v>144</v>
      </c>
      <c r="AQ318">
        <v>157</v>
      </c>
      <c r="AR318">
        <v>170</v>
      </c>
      <c r="AS318">
        <v>183</v>
      </c>
    </row>
    <row r="320">
      <c r="C320" t="str">
        <v>FB Report</v>
      </c>
    </row>
    <row r="321">
      <c r="C321" t="str">
        <v>- Impression</v>
      </c>
      <c r="D321" t="str">
        <v>#</v>
      </c>
      <c r="AE321">
        <v>10490</v>
      </c>
      <c r="AF321">
        <v>10620</v>
      </c>
      <c r="AG321">
        <v>10750</v>
      </c>
      <c r="AH321">
        <v>10880</v>
      </c>
      <c r="AI321">
        <v>10040</v>
      </c>
      <c r="AJ321">
        <v>10170</v>
      </c>
      <c r="AK321">
        <v>10300</v>
      </c>
      <c r="AL321">
        <v>10430</v>
      </c>
      <c r="AM321">
        <v>10560</v>
      </c>
      <c r="AN321">
        <v>10690</v>
      </c>
      <c r="AO321">
        <v>10820</v>
      </c>
      <c r="AP321">
        <v>10950</v>
      </c>
      <c r="AQ321">
        <v>10110</v>
      </c>
      <c r="AR321">
        <v>10240</v>
      </c>
      <c r="AS321">
        <v>10370</v>
      </c>
    </row>
    <row r="322">
      <c r="C322" t="str">
        <v>- Clicks</v>
      </c>
      <c r="D322" t="str">
        <v>#</v>
      </c>
      <c r="AE322">
        <v>166</v>
      </c>
      <c r="AF322">
        <v>179</v>
      </c>
      <c r="AG322">
        <v>192</v>
      </c>
      <c r="AH322">
        <v>108</v>
      </c>
      <c r="AI322">
        <v>121</v>
      </c>
      <c r="AJ322">
        <v>134</v>
      </c>
      <c r="AK322">
        <v>147</v>
      </c>
      <c r="AL322">
        <v>160</v>
      </c>
      <c r="AM322">
        <v>173</v>
      </c>
      <c r="AN322">
        <v>186</v>
      </c>
      <c r="AO322">
        <v>102</v>
      </c>
      <c r="AP322">
        <v>115</v>
      </c>
      <c r="AQ322">
        <v>128</v>
      </c>
      <c r="AR322">
        <v>141</v>
      </c>
      <c r="AS322">
        <v>154</v>
      </c>
    </row>
    <row r="323">
      <c r="C323" t="str">
        <v>- CTR(ClickThrough Rate)</v>
      </c>
      <c r="D323" t="str">
        <v>%</v>
      </c>
      <c r="AE323">
        <v>0.08</v>
      </c>
      <c r="AF323">
        <v>0.21</v>
      </c>
      <c r="AG323">
        <v>0.17</v>
      </c>
      <c r="AH323">
        <v>0.1</v>
      </c>
      <c r="AI323">
        <v>0.23</v>
      </c>
      <c r="AJ323">
        <v>0.16</v>
      </c>
      <c r="AK323">
        <v>0.09</v>
      </c>
      <c r="AL323">
        <v>0.22</v>
      </c>
      <c r="AM323">
        <v>0.15</v>
      </c>
      <c r="AN323">
        <v>0.11</v>
      </c>
      <c r="AO323">
        <v>0.24</v>
      </c>
      <c r="AP323">
        <v>0.17</v>
      </c>
      <c r="AQ323">
        <v>0.1</v>
      </c>
      <c r="AR323">
        <v>0.23</v>
      </c>
      <c r="AS323">
        <v>0.16</v>
      </c>
    </row>
    <row r="324">
      <c r="C324" t="str">
        <v>- Cost</v>
      </c>
      <c r="D324" t="str">
        <v>$</v>
      </c>
      <c r="AE324">
        <v>103</v>
      </c>
      <c r="AF324">
        <v>116</v>
      </c>
      <c r="AG324">
        <v>10290</v>
      </c>
      <c r="AH324">
        <v>10420</v>
      </c>
      <c r="AI324">
        <v>155</v>
      </c>
      <c r="AJ324">
        <v>10680</v>
      </c>
      <c r="AK324">
        <v>181</v>
      </c>
      <c r="AL324">
        <v>10940</v>
      </c>
      <c r="AM324">
        <v>10100</v>
      </c>
      <c r="AN324">
        <v>123</v>
      </c>
      <c r="AO324">
        <v>136</v>
      </c>
      <c r="AP324">
        <v>149</v>
      </c>
      <c r="AQ324">
        <v>162</v>
      </c>
      <c r="AR324">
        <v>175</v>
      </c>
      <c r="AS324">
        <v>10880</v>
      </c>
    </row>
    <row r="325">
      <c r="C325" t="str">
        <v>- CPC(Cost Per Click)</v>
      </c>
      <c r="D325" t="str">
        <v>$</v>
      </c>
      <c r="AE325">
        <v>30</v>
      </c>
      <c r="AF325">
        <v>43</v>
      </c>
      <c r="AG325">
        <v>56</v>
      </c>
      <c r="AH325">
        <v>69</v>
      </c>
      <c r="AI325">
        <v>82</v>
      </c>
      <c r="AJ325">
        <v>15</v>
      </c>
      <c r="AK325">
        <v>11</v>
      </c>
      <c r="AL325">
        <v>24</v>
      </c>
      <c r="AM325">
        <v>37</v>
      </c>
      <c r="AN325">
        <v>50</v>
      </c>
      <c r="AO325">
        <v>63</v>
      </c>
      <c r="AP325">
        <v>76</v>
      </c>
      <c r="AQ325">
        <v>89</v>
      </c>
      <c r="AR325">
        <v>22</v>
      </c>
      <c r="AS325">
        <v>18</v>
      </c>
    </row>
    <row r="326">
      <c r="C326" t="str">
        <v>-Coversion</v>
      </c>
      <c r="D326" t="str">
        <v>#</v>
      </c>
      <c r="AE326">
        <v>47</v>
      </c>
      <c r="AF326">
        <v>60</v>
      </c>
      <c r="AG326">
        <v>73</v>
      </c>
      <c r="AH326">
        <v>86</v>
      </c>
      <c r="AI326">
        <v>19</v>
      </c>
      <c r="AJ326">
        <v>15</v>
      </c>
      <c r="AK326">
        <v>28</v>
      </c>
      <c r="AL326">
        <v>131</v>
      </c>
      <c r="AM326">
        <v>144</v>
      </c>
      <c r="AN326">
        <v>67</v>
      </c>
      <c r="AO326">
        <v>80</v>
      </c>
      <c r="AP326">
        <v>13</v>
      </c>
      <c r="AQ326">
        <v>26</v>
      </c>
      <c r="AR326">
        <v>22</v>
      </c>
      <c r="AS326">
        <v>125</v>
      </c>
    </row>
    <row r="327">
      <c r="C327" t="str">
        <v>-CPA(Cost Per Acquisition)</v>
      </c>
      <c r="D327" t="str">
        <v>$</v>
      </c>
      <c r="AE327">
        <v>154</v>
      </c>
      <c r="AF327">
        <v>167</v>
      </c>
      <c r="AG327">
        <v>180</v>
      </c>
      <c r="AH327">
        <v>193</v>
      </c>
      <c r="AI327">
        <v>109</v>
      </c>
      <c r="AJ327">
        <v>122</v>
      </c>
      <c r="AK327">
        <v>135</v>
      </c>
      <c r="AL327">
        <v>58</v>
      </c>
      <c r="AM327">
        <v>161</v>
      </c>
      <c r="AN327">
        <v>174</v>
      </c>
      <c r="AO327">
        <v>187</v>
      </c>
      <c r="AP327">
        <v>103</v>
      </c>
      <c r="AQ327">
        <v>116</v>
      </c>
      <c r="AR327">
        <v>129</v>
      </c>
      <c r="AS327">
        <v>142</v>
      </c>
    </row>
    <row r="329">
      <c r="C329" t="str">
        <v>数据来源</v>
      </c>
      <c r="E329" t="str">
        <v>申请列表</v>
      </c>
    </row>
    <row r="330">
      <c r="C330" t="str">
        <v>时间区间</v>
      </c>
      <c r="E330" t="str">
        <v>每月数据以申请时间为准</v>
      </c>
    </row>
    <row r="331">
      <c r="C331" t="str">
        <v>佣金计算方式</v>
      </c>
      <c r="E331" t="str">
        <v>人保汇率</v>
      </c>
      <c r="F331">
        <v>18</v>
      </c>
    </row>
    <row r="332">
      <c r="E332" t="str">
        <v>人保净保费=港币保费/1.06</v>
      </c>
    </row>
    <row r="333">
      <c r="E333" t="str">
        <v>太平佣金为港币总保费的25%</v>
      </c>
      <c r="Y333">
        <v>88</v>
      </c>
      <c r="Z333">
        <v>21</v>
      </c>
      <c r="AA333">
        <v>17</v>
      </c>
      <c r="AB333">
        <v>30</v>
      </c>
      <c r="AC333">
        <v>43</v>
      </c>
      <c r="AD333">
        <v>56</v>
      </c>
      <c r="AE333">
        <v>69</v>
      </c>
    </row>
    <row r="334">
      <c r="C334" t="str">
        <v>关键时间节点</v>
      </c>
      <c r="E334" t="str">
        <v>3-4月，人保佣金为净保费的10%</v>
      </c>
      <c r="Y334">
        <v>25</v>
      </c>
      <c r="Z334">
        <v>21</v>
      </c>
      <c r="AA334">
        <v>34</v>
      </c>
      <c r="AB334">
        <v>47</v>
      </c>
      <c r="AC334">
        <v>60</v>
      </c>
      <c r="AD334">
        <v>73</v>
      </c>
      <c r="AE334">
        <v>86</v>
      </c>
    </row>
    <row r="335">
      <c r="E335" t="str">
        <v>5月，人保产品上线</v>
      </c>
      <c r="Y335">
        <v>115</v>
      </c>
      <c r="Z335">
        <v>128</v>
      </c>
      <c r="AA335">
        <v>141</v>
      </c>
      <c r="AB335">
        <v>154</v>
      </c>
      <c r="AC335">
        <v>167</v>
      </c>
      <c r="AD335">
        <v>180</v>
      </c>
      <c r="AE335">
        <v>193</v>
      </c>
    </row>
    <row r="336">
      <c r="E336" t="str">
        <v>7月及之前，锐成渠道费计算方式：验车中心+官网+新田+天水围</v>
      </c>
      <c r="Y336">
        <v>132</v>
      </c>
      <c r="Z336">
        <v>145</v>
      </c>
      <c r="AA336">
        <v>158</v>
      </c>
      <c r="AB336">
        <v>171</v>
      </c>
      <c r="AC336">
        <v>184</v>
      </c>
      <c r="AD336">
        <v>100</v>
      </c>
      <c r="AE336">
        <v>113</v>
      </c>
    </row>
    <row r="337">
      <c r="E337" t="str">
        <v>8月起，锐成渠道费计算方式：验车中心+新田+天水围</v>
      </c>
    </row>
    <row r="338">
      <c r="E338" t="str">
        <v>8月太平降费</v>
      </c>
    </row>
    <row r="339">
      <c r="E339" t="str">
        <v>5-8月，人保佣金=（线下交强险净保费*4%+线下商业险净保费*40%）*50%+（线上交强险净保费*4%+线上商业险净保费*40%）*80%</v>
      </c>
    </row>
    <row r="340">
      <c r="E340" t="str">
        <v>9月起，人保佣金计算方式变化，以净保费*15%计算</v>
      </c>
    </row>
    <row r="341">
      <c r="E341" t="str">
        <v>12月起，人保不统计线下销售数量</v>
      </c>
    </row>
    <row r="357">
      <c r="C357" t="str">
        <v>一站式應續保</v>
      </c>
      <c r="D357" t="str">
        <v>#</v>
      </c>
      <c r="AB357">
        <v>50</v>
      </c>
      <c r="AC357">
        <v>153</v>
      </c>
      <c r="AD357">
        <v>166</v>
      </c>
      <c r="AE357">
        <v>179</v>
      </c>
      <c r="AF357">
        <v>192</v>
      </c>
      <c r="AG357">
        <v>108</v>
      </c>
      <c r="AH357">
        <v>121</v>
      </c>
      <c r="AI357">
        <v>134</v>
      </c>
      <c r="AJ357">
        <v>147</v>
      </c>
      <c r="AK357">
        <v>160</v>
      </c>
      <c r="AL357">
        <v>173</v>
      </c>
      <c r="AM357">
        <v>186</v>
      </c>
      <c r="AN357">
        <v>102</v>
      </c>
      <c r="AO357">
        <v>115</v>
      </c>
      <c r="AP357">
        <v>128</v>
      </c>
      <c r="AQ357">
        <v>141</v>
      </c>
      <c r="AR357">
        <v>154</v>
      </c>
      <c r="AS357">
        <v>167</v>
      </c>
    </row>
    <row r="358">
      <c r="C358" t="str">
        <v>一站式已續保（原保司）</v>
      </c>
      <c r="D358" t="str">
        <v>#</v>
      </c>
      <c r="AB358">
        <v>67</v>
      </c>
      <c r="AC358">
        <v>170</v>
      </c>
      <c r="AD358">
        <v>183</v>
      </c>
      <c r="AE358">
        <v>196</v>
      </c>
      <c r="AF358">
        <v>112</v>
      </c>
      <c r="AG358">
        <v>125</v>
      </c>
      <c r="AH358">
        <v>138</v>
      </c>
      <c r="AI358">
        <v>151</v>
      </c>
      <c r="AJ358">
        <v>164</v>
      </c>
      <c r="AK358">
        <v>177</v>
      </c>
      <c r="AL358">
        <v>190</v>
      </c>
      <c r="AM358">
        <v>16</v>
      </c>
      <c r="AN358">
        <v>29</v>
      </c>
      <c r="AO358">
        <v>42</v>
      </c>
    </row>
    <row r="359">
      <c r="C359" t="str">
        <v>一站式已續保（換保司）</v>
      </c>
      <c r="D359" t="str">
        <v>#</v>
      </c>
      <c r="AB359">
        <v>84</v>
      </c>
      <c r="AC359">
        <v>17</v>
      </c>
      <c r="AD359">
        <v>13</v>
      </c>
      <c r="AE359">
        <v>26</v>
      </c>
      <c r="AF359">
        <v>39</v>
      </c>
      <c r="AG359">
        <v>52</v>
      </c>
      <c r="AH359">
        <v>65</v>
      </c>
      <c r="AI359">
        <v>78</v>
      </c>
      <c r="AJ359">
        <v>11</v>
      </c>
      <c r="AK359">
        <v>24</v>
      </c>
      <c r="AL359">
        <v>20</v>
      </c>
      <c r="AM359">
        <v>33</v>
      </c>
      <c r="AN359">
        <v>46</v>
      </c>
      <c r="AO359">
        <v>0</v>
      </c>
    </row>
    <row r="360">
      <c r="C360" t="str">
        <v>一站式已續保</v>
      </c>
      <c r="AB360">
        <v>21</v>
      </c>
      <c r="AC360">
        <v>107</v>
      </c>
      <c r="AD360">
        <v>120</v>
      </c>
      <c r="AE360">
        <v>133</v>
      </c>
      <c r="AF360">
        <v>146</v>
      </c>
      <c r="AG360">
        <v>159</v>
      </c>
      <c r="AH360">
        <v>172</v>
      </c>
      <c r="AI360">
        <v>185</v>
      </c>
      <c r="AJ360">
        <v>101</v>
      </c>
      <c r="AK360">
        <v>114</v>
      </c>
      <c r="AL360">
        <v>127</v>
      </c>
      <c r="AM360">
        <v>140</v>
      </c>
      <c r="AN360">
        <v>153</v>
      </c>
      <c r="AO360">
        <v>166</v>
      </c>
      <c r="AP360">
        <v>179</v>
      </c>
      <c r="AQ360">
        <v>192</v>
      </c>
      <c r="AR360">
        <v>18</v>
      </c>
      <c r="AS360">
        <v>31</v>
      </c>
    </row>
    <row r="361">
      <c r="C361" t="str">
        <v>一站式未續保</v>
      </c>
      <c r="D361" t="str">
        <v>#</v>
      </c>
      <c r="AB361">
        <v>21</v>
      </c>
      <c r="AC361">
        <v>124</v>
      </c>
      <c r="AD361">
        <v>137</v>
      </c>
      <c r="AE361">
        <v>150</v>
      </c>
      <c r="AF361">
        <v>163</v>
      </c>
      <c r="AG361">
        <v>176</v>
      </c>
      <c r="AH361">
        <v>189</v>
      </c>
      <c r="AI361">
        <v>105</v>
      </c>
      <c r="AJ361">
        <v>118</v>
      </c>
      <c r="AK361">
        <v>131</v>
      </c>
      <c r="AL361">
        <v>144</v>
      </c>
      <c r="AM361">
        <v>157</v>
      </c>
      <c r="AN361">
        <v>170</v>
      </c>
      <c r="AO361">
        <v>183</v>
      </c>
      <c r="AP361">
        <v>196</v>
      </c>
      <c r="AQ361">
        <v>112</v>
      </c>
      <c r="AR361">
        <v>125</v>
      </c>
      <c r="AS361">
        <v>138</v>
      </c>
    </row>
    <row r="362">
      <c r="C362" t="str">
        <v>renewal rate</v>
      </c>
      <c r="D362" t="str">
        <v>%</v>
      </c>
      <c r="AB362">
        <v>0.13</v>
      </c>
      <c r="AC362">
        <v>0.06</v>
      </c>
      <c r="AD362">
        <v>0.19</v>
      </c>
      <c r="AE362">
        <v>0.12</v>
      </c>
      <c r="AF362">
        <v>0.05</v>
      </c>
      <c r="AG362">
        <v>0.18</v>
      </c>
      <c r="AH362">
        <v>0.14</v>
      </c>
      <c r="AI362">
        <v>0.07</v>
      </c>
      <c r="AJ362">
        <v>0.2</v>
      </c>
      <c r="AK362">
        <v>0.13</v>
      </c>
      <c r="AL362">
        <v>0.06</v>
      </c>
      <c r="AM362">
        <v>0.19</v>
      </c>
      <c r="AN362">
        <v>0.12</v>
      </c>
      <c r="AO362">
        <v>0.08</v>
      </c>
      <c r="AP362">
        <v>0.21</v>
      </c>
      <c r="AQ362">
        <v>0.14</v>
      </c>
      <c r="AR362">
        <v>0.07</v>
      </c>
      <c r="AS362">
        <v>0.2</v>
      </c>
    </row>
    <row r="363">
      <c r="C363" t="str">
        <v>unrenewal rate</v>
      </c>
      <c r="D363" t="str">
        <v>%</v>
      </c>
      <c r="AB363">
        <v>0.1</v>
      </c>
      <c r="AC363">
        <v>0.23</v>
      </c>
      <c r="AD363">
        <v>0.16</v>
      </c>
      <c r="AE363">
        <v>0.09</v>
      </c>
      <c r="AF363">
        <v>0.05</v>
      </c>
      <c r="AG363">
        <v>0.18</v>
      </c>
      <c r="AH363">
        <v>0.11</v>
      </c>
      <c r="AI363">
        <v>0.24</v>
      </c>
      <c r="AJ363">
        <v>0.17</v>
      </c>
      <c r="AK363">
        <v>0.1</v>
      </c>
      <c r="AL363">
        <v>0.23</v>
      </c>
      <c r="AM363">
        <v>0.16</v>
      </c>
      <c r="AN363">
        <v>0.12</v>
      </c>
      <c r="AO363">
        <v>0.05</v>
      </c>
      <c r="AP363">
        <v>0.18</v>
      </c>
      <c r="AQ363">
        <v>0.11</v>
      </c>
      <c r="AR363">
        <v>0.24</v>
      </c>
      <c r="AS363">
        <v>0.17</v>
      </c>
    </row>
  </sheetData>
  <mergeCells count="6">
    <mergeCell ref="AK2:AV2"/>
    <mergeCell ref="C2:G2"/>
    <mergeCell ref="H2:I2"/>
    <mergeCell ref="K2:L2"/>
    <mergeCell ref="M2:X2"/>
    <mergeCell ref="Y2:AJ2"/>
  </mergeCells>
  <pageMargins left="0.7" right="0.7" top="0.75" bottom="0.75" header="0.3" footer="0.3"/>
  <ignoredErrors>
    <ignoredError numberStoredAsText="1" sqref="A1:AV363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37:B39"/>
  <sheetViews>
    <sheetView workbookViewId="0" rightToLeft="0"/>
  </sheetViews>
  <sheetData>
    <row r="37">
      <c r="B37" t="str">
        <v>验车数量持续下降，但是销售单数是在增加的，主要是加入了第二个保司人保，单数较多</v>
      </c>
    </row>
    <row r="38">
      <c r="B38" t="str">
        <v>从8月起，太平降价导致其单数也有所回升</v>
      </c>
    </row>
    <row r="39">
      <c r="B39" t="str">
        <v>总体来看，投保量从一开始持续增长到后来较为平稳，比例的变动主要是在于验车数量的变动</v>
      </c>
    </row>
  </sheetData>
  <pageMargins left="0.7" right="0.7" top="0.75" bottom="0.75" header="0.3" footer="0.3"/>
  <ignoredErrors>
    <ignoredError numberStoredAsText="1" sqref="B37:B3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/>
  <pageMargins left="0.7" right="0.7" top="0.75" bottom="0.75" header="0.3" footer="0.3"/>
  <ignoredErrors>
    <ignoredError numberStoredAsText="1" sqref="A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/>
  <pageMargins left="0.7" right="0.7" top="0.75" bottom="0.75" header="0.3" footer="0.3"/>
  <ignoredErrors>
    <ignoredError numberStoredAsText="1" sqref="A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I19"/>
  <sheetViews>
    <sheetView workbookViewId="0" rightToLeft="0"/>
  </sheetViews>
  <sheetData>
    <row r="1">
      <c r="A1" t="str">
        <v>Period</v>
      </c>
      <c r="B1" t="str">
        <v>Impression</v>
      </c>
      <c r="C1" t="str">
        <v>Clicks</v>
      </c>
      <c r="D1" t="str">
        <v>CTR</v>
      </c>
      <c r="E1" t="str">
        <v>CPC</v>
      </c>
      <c r="F1" t="str">
        <v>Cost</v>
      </c>
      <c r="G1" t="str">
        <v>Conversion*</v>
      </c>
      <c r="H1" t="str">
        <v>CPA*</v>
      </c>
    </row>
    <row r="2">
      <c r="G2" t="str">
        <v>(Thankyou Page)</v>
      </c>
      <c r="H2" t="str">
        <v>(Thankyou Page)</v>
      </c>
    </row>
    <row r="3">
      <c r="A3" t="str">
        <v>Jun 24 - 30</v>
      </c>
      <c r="B3">
        <v>152</v>
      </c>
      <c r="C3">
        <v>165</v>
      </c>
      <c r="D3">
        <v>0.23</v>
      </c>
      <c r="E3">
        <v>21</v>
      </c>
      <c r="F3">
        <v>107</v>
      </c>
      <c r="G3" t="str">
        <v>N/A</v>
      </c>
      <c r="H3" t="str">
        <v>N/A</v>
      </c>
    </row>
    <row r="4">
      <c r="A4" t="str">
        <v>Jul 1 – 31</v>
      </c>
      <c r="B4">
        <v>169</v>
      </c>
      <c r="C4">
        <v>182</v>
      </c>
      <c r="D4">
        <v>0.2</v>
      </c>
      <c r="E4">
        <v>21</v>
      </c>
      <c r="F4">
        <v>124</v>
      </c>
      <c r="G4">
        <v>47</v>
      </c>
      <c r="H4">
        <v>150</v>
      </c>
    </row>
    <row r="5">
      <c r="A5" t="str">
        <v>Aug 1 – 31</v>
      </c>
      <c r="B5">
        <v>186</v>
      </c>
      <c r="C5">
        <v>102</v>
      </c>
      <c r="D5">
        <v>0.2</v>
      </c>
      <c r="E5">
        <v>38</v>
      </c>
      <c r="F5">
        <v>10410</v>
      </c>
      <c r="G5">
        <v>64</v>
      </c>
      <c r="H5">
        <v>167</v>
      </c>
    </row>
    <row r="6">
      <c r="A6" t="str">
        <v>Sep 1 – 30</v>
      </c>
      <c r="B6">
        <v>106</v>
      </c>
      <c r="C6">
        <v>119</v>
      </c>
      <c r="D6">
        <v>0.17</v>
      </c>
      <c r="E6">
        <v>55</v>
      </c>
      <c r="F6">
        <v>10580</v>
      </c>
      <c r="G6">
        <v>171</v>
      </c>
      <c r="H6">
        <v>184</v>
      </c>
    </row>
    <row r="7">
      <c r="A7" t="str">
        <v>Oct 1 - 31</v>
      </c>
      <c r="B7">
        <v>123</v>
      </c>
      <c r="C7">
        <v>136</v>
      </c>
      <c r="D7">
        <v>0.14</v>
      </c>
      <c r="E7">
        <v>72</v>
      </c>
      <c r="F7">
        <v>10750</v>
      </c>
      <c r="G7">
        <v>18</v>
      </c>
      <c r="H7">
        <v>104</v>
      </c>
    </row>
    <row r="8">
      <c r="A8" t="str">
        <v>Nov 1 - 30</v>
      </c>
      <c r="B8">
        <v>140</v>
      </c>
      <c r="C8">
        <v>153</v>
      </c>
      <c r="D8">
        <v>0.11</v>
      </c>
      <c r="E8">
        <v>89</v>
      </c>
      <c r="F8">
        <v>10920</v>
      </c>
      <c r="G8">
        <v>18</v>
      </c>
      <c r="H8">
        <v>121</v>
      </c>
    </row>
    <row r="9">
      <c r="A9" t="str">
        <v>Dec 1 - 31</v>
      </c>
      <c r="B9">
        <v>157</v>
      </c>
      <c r="C9">
        <v>170</v>
      </c>
      <c r="D9">
        <v>0.08</v>
      </c>
      <c r="E9">
        <v>26</v>
      </c>
      <c r="F9">
        <v>10120</v>
      </c>
      <c r="G9">
        <v>35</v>
      </c>
      <c r="H9">
        <v>138</v>
      </c>
    </row>
    <row r="10">
      <c r="A10" t="str">
        <v>Total</v>
      </c>
      <c r="B10">
        <v>10740</v>
      </c>
      <c r="C10">
        <v>187</v>
      </c>
      <c r="D10">
        <v>0.08</v>
      </c>
      <c r="E10">
        <v>26</v>
      </c>
      <c r="F10">
        <v>10290</v>
      </c>
      <c r="G10">
        <v>142</v>
      </c>
      <c r="H10">
        <v>155</v>
      </c>
    </row>
    <row r="15">
      <c r="B15" t="str">
        <v>9月与12月相比，cost、impression、clicks相差不大，但是conversion差了近一倍</v>
      </c>
    </row>
    <row r="16">
      <c r="B16" t="str">
        <v>从10月开始，即使上调了costs，但是conversion依然持续下降</v>
      </c>
    </row>
    <row r="17">
      <c r="B17" t="str">
        <v>总体的成交量，11月有回升，但是GA的conversion继续降低，可以看到这个月成交量应该是与GA关系不太大，主要是PICC的线下销售占比大</v>
      </c>
    </row>
    <row r="18">
      <c r="B18" t="str">
        <v>12月的成交量下降，主要是人保的成交量有下滑，是6月以来最低的一个月，尤其是CTG渠道有明显下滑</v>
      </c>
    </row>
    <row r="19">
      <c r="B19" t="str">
        <v>9、10、12月的人保成交量、人保线下成交量均有较明显的下滑，推测可能是由于这三个月份假期多，许多人不会在假期安排投保事宜</v>
      </c>
    </row>
  </sheetData>
  <mergeCells count="6">
    <mergeCell ref="F1:F2"/>
    <mergeCell ref="A1:A2"/>
    <mergeCell ref="B1:B2"/>
    <mergeCell ref="C1:C2"/>
    <mergeCell ref="D1:D2"/>
    <mergeCell ref="E1:E2"/>
  </mergeCells>
  <pageMargins left="0.7" right="0.7" top="0.75" bottom="0.75" header="0.3" footer="0.3"/>
  <ignoredErrors>
    <ignoredError numberStoredAsText="1" sqref="A1:I1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X97"/>
  <sheetViews>
    <sheetView workbookViewId="0" rightToLeft="0"/>
  </sheetViews>
  <sheetData>
    <row r="2" xml:space="preserve">
      <c r="H2" t="str" xml:space="preserve">
        <v xml:space="preserve">YTD_x000d_
Month: Oct 2024</v>
      </c>
      <c r="J2" t="str">
        <v>Previous Month</v>
      </c>
      <c r="K2" t="str" xml:space="preserve">
        <v xml:space="preserve">Current Month_x000d_
Oct 2024</v>
      </c>
      <c r="M2" t="str">
        <v>2024 Act</v>
      </c>
      <c r="W2" t="str">
        <v>(Flash)</v>
      </c>
    </row>
    <row r="4" xml:space="preserve">
      <c r="B4" t="str">
        <v>Definition</v>
      </c>
      <c r="D4" t="str">
        <v>Unit</v>
      </c>
      <c r="E4" t="str" xml:space="preserve">
        <v xml:space="preserve">2023_x000d_
(Act)</v>
      </c>
      <c r="F4" t="str" xml:space="preserve">
        <v xml:space="preserve">2024_x000d_
(Act)</v>
      </c>
      <c r="G4" t="str" xml:space="preserve">
        <v xml:space="preserve">2024_x000d_
(Bud)</v>
      </c>
      <c r="H4" t="str" xml:space="preserve">
        <v xml:space="preserve">YTD_x000d_
(Act)</v>
      </c>
      <c r="I4" t="str" xml:space="preserve">
        <v xml:space="preserve">YTD_x000d_
(Bud)</v>
      </c>
      <c r="J4" t="str" xml:space="preserve">
        <v xml:space="preserve">MTD_x000d_
(Act)</v>
      </c>
      <c r="K4" t="str" xml:space="preserve">
        <v xml:space="preserve">MTD_x000d_
(Act)</v>
      </c>
      <c r="L4" t="str">
        <v>Bud</v>
      </c>
      <c r="M4" t="str">
        <v>Jan 24</v>
      </c>
      <c r="N4" t="str">
        <v>Feb 24</v>
      </c>
      <c r="O4" t="str">
        <v>Mar 24</v>
      </c>
      <c r="P4" t="str">
        <v>Apr 24</v>
      </c>
      <c r="Q4" t="str">
        <v>May 24</v>
      </c>
      <c r="R4" t="str">
        <v>Jun 24</v>
      </c>
      <c r="S4" t="str">
        <v>Jul 24</v>
      </c>
      <c r="T4" t="str">
        <v>Aug 24</v>
      </c>
      <c r="U4" t="str">
        <v>Sep 24</v>
      </c>
      <c r="V4" t="str">
        <v>Oct 24</v>
      </c>
      <c r="W4" t="str">
        <v>Nov 24</v>
      </c>
      <c r="X4" t="str">
        <v>Dec 24</v>
      </c>
    </row>
    <row r="6">
      <c r="B6" t="str">
        <v>Account Payable</v>
      </c>
      <c r="C6" t="str">
        <v>Total Premium (Gross)</v>
      </c>
      <c r="D6" t="str">
        <v>$</v>
      </c>
    </row>
    <row r="7">
      <c r="C7" t="str">
        <v xml:space="preserve"> - New Business</v>
      </c>
      <c r="D7" t="str">
        <v>$</v>
      </c>
    </row>
    <row r="8">
      <c r="C8" t="str">
        <v xml:space="preserve"> - Renewal</v>
      </c>
      <c r="D8" t="str">
        <v>$</v>
      </c>
    </row>
    <row r="9">
      <c r="C9" t="str">
        <v xml:space="preserve"> - Endorsement</v>
      </c>
      <c r="D9" t="str">
        <v>$</v>
      </c>
    </row>
    <row r="10">
      <c r="B10" t="str">
        <v>one off and CTS Travel</v>
      </c>
      <c r="C10" t="str">
        <v xml:space="preserve"> - One off</v>
      </c>
      <c r="D10" t="str">
        <v>$</v>
      </c>
    </row>
    <row r="12">
      <c r="B12" t="str">
        <v>exclude levy etc.</v>
      </c>
      <c r="C12" t="str">
        <v>Total Premium (Net)</v>
      </c>
      <c r="D12" t="str">
        <v>$</v>
      </c>
    </row>
    <row r="13">
      <c r="C13" t="str">
        <v xml:space="preserve"> - New Business</v>
      </c>
      <c r="D13" t="str">
        <v>$</v>
      </c>
    </row>
    <row r="14">
      <c r="C14" t="str">
        <v xml:space="preserve"> - Renewal</v>
      </c>
      <c r="D14" t="str">
        <v>$</v>
      </c>
    </row>
    <row r="15">
      <c r="C15" t="str">
        <v xml:space="preserve"> - Endorsement</v>
      </c>
      <c r="D15" t="str">
        <v>$</v>
      </c>
    </row>
    <row r="16">
      <c r="B16" t="str">
        <v>one off and CTS Travel</v>
      </c>
      <c r="C16" t="str">
        <v xml:space="preserve"> - One off</v>
      </c>
      <c r="D16" t="str">
        <v>$</v>
      </c>
    </row>
    <row r="18">
      <c r="C18" t="str">
        <v>Channel Breakup (Gross)</v>
      </c>
    </row>
    <row r="19">
      <c r="C19" t="str">
        <v>- Direct Deal</v>
      </c>
      <c r="D19" t="str">
        <v>$</v>
      </c>
    </row>
    <row r="20">
      <c r="C20" t="str">
        <v>- Referral</v>
      </c>
      <c r="D20" t="str">
        <v>$</v>
      </c>
    </row>
    <row r="21">
      <c r="C21" t="str">
        <v xml:space="preserve">  --- Aon</v>
      </c>
      <c r="D21" t="str">
        <v>$</v>
      </c>
    </row>
    <row r="22">
      <c r="C22" t="str">
        <v xml:space="preserve">  --- Enoch</v>
      </c>
      <c r="D22" t="str">
        <v>$</v>
      </c>
    </row>
    <row r="23">
      <c r="C23" t="str">
        <v xml:space="preserve">  --- Others</v>
      </c>
      <c r="D23" t="str">
        <v>$</v>
      </c>
    </row>
    <row r="25">
      <c r="C25" t="str">
        <v>Share Breakup (Gross)</v>
      </c>
      <c r="D25" t="str">
        <v>$</v>
      </c>
    </row>
    <row r="26">
      <c r="C26" t="str">
        <v>- Direct Deal</v>
      </c>
      <c r="D26" t="str">
        <v>%</v>
      </c>
    </row>
    <row r="27">
      <c r="C27" t="str">
        <v>- Referral</v>
      </c>
      <c r="D27" t="str">
        <v>%</v>
      </c>
    </row>
    <row r="29">
      <c r="C29" t="str">
        <v>No. of Case</v>
      </c>
      <c r="D29" t="str">
        <v>#</v>
      </c>
    </row>
    <row r="30">
      <c r="C30" t="str">
        <v xml:space="preserve"> - New Business</v>
      </c>
      <c r="D30" t="str">
        <v>#</v>
      </c>
    </row>
    <row r="31">
      <c r="C31" t="str">
        <v xml:space="preserve"> - Renewal</v>
      </c>
      <c r="D31" t="str">
        <v>#</v>
      </c>
    </row>
    <row r="32">
      <c r="C32" t="str">
        <v xml:space="preserve"> - Endorsement</v>
      </c>
      <c r="D32" t="str">
        <v>#</v>
      </c>
    </row>
    <row r="33">
      <c r="C33" t="str">
        <v xml:space="preserve"> - One off</v>
      </c>
      <c r="D33" t="str">
        <v>#</v>
      </c>
    </row>
    <row r="35">
      <c r="C35" t="str">
        <v>No. of Case</v>
      </c>
    </row>
    <row r="36">
      <c r="C36" t="str">
        <v>- Direct Deal</v>
      </c>
      <c r="D36" t="str">
        <v>#</v>
      </c>
    </row>
    <row r="37">
      <c r="C37" t="str">
        <v>- Referral</v>
      </c>
      <c r="D37" t="str">
        <v>#</v>
      </c>
    </row>
    <row r="38">
      <c r="C38" t="str">
        <v xml:space="preserve">  --- Aon</v>
      </c>
      <c r="D38" t="str">
        <v>#</v>
      </c>
    </row>
    <row r="39">
      <c r="C39" t="str">
        <v xml:space="preserve">  --- Enoch</v>
      </c>
      <c r="D39" t="str">
        <v>#</v>
      </c>
    </row>
    <row r="40">
      <c r="C40" t="str">
        <v xml:space="preserve">  --- Others</v>
      </c>
      <c r="D40" t="str">
        <v>#</v>
      </c>
    </row>
    <row r="42">
      <c r="C42" t="str">
        <v>Share Breakup (Gross)</v>
      </c>
      <c r="D42" t="str">
        <v>#</v>
      </c>
    </row>
    <row r="43">
      <c r="C43" t="str">
        <v>- Direct Deal</v>
      </c>
      <c r="D43" t="str">
        <v>%</v>
      </c>
    </row>
    <row r="44">
      <c r="C44" t="str">
        <v>- Referral</v>
      </c>
      <c r="D44" t="str">
        <v>%</v>
      </c>
    </row>
    <row r="46">
      <c r="B46" t="str">
        <v>AR</v>
      </c>
      <c r="C46" t="str">
        <v>Total Commission Income</v>
      </c>
      <c r="D46" t="str">
        <v>$</v>
      </c>
    </row>
    <row r="47">
      <c r="B47" t="str">
        <v>CTIA 应收佣金</v>
      </c>
      <c r="C47" t="str">
        <v xml:space="preserve"> - New Business</v>
      </c>
      <c r="D47" t="str">
        <v>$</v>
      </c>
    </row>
    <row r="48">
      <c r="B48" t="str">
        <v>commission/net premium</v>
      </c>
      <c r="D48" t="str">
        <v>%</v>
      </c>
    </row>
    <row r="49">
      <c r="C49" t="str">
        <v xml:space="preserve"> - Renewal</v>
      </c>
      <c r="D49" t="str">
        <v>$</v>
      </c>
    </row>
    <row r="50">
      <c r="D50" t="str">
        <v>%</v>
      </c>
    </row>
    <row r="51">
      <c r="C51" t="str">
        <v xml:space="preserve"> - Endorsement</v>
      </c>
      <c r="D51" t="str">
        <v>$</v>
      </c>
    </row>
    <row r="52">
      <c r="D52" t="str">
        <v>%</v>
      </c>
    </row>
    <row r="54">
      <c r="C54" t="str">
        <v>Channel Breakup</v>
      </c>
    </row>
    <row r="55">
      <c r="C55" t="str">
        <v>- Direct Deal</v>
      </c>
      <c r="D55" t="str">
        <v>$</v>
      </c>
    </row>
    <row r="56">
      <c r="D56" t="str">
        <v>%</v>
      </c>
    </row>
    <row r="57">
      <c r="C57" t="str">
        <v>- Referral</v>
      </c>
      <c r="D57" t="str">
        <v>$</v>
      </c>
    </row>
    <row r="58">
      <c r="D58" t="str">
        <v>%</v>
      </c>
    </row>
    <row r="59">
      <c r="C59" t="str">
        <v xml:space="preserve">  --- Aon</v>
      </c>
      <c r="D59" t="str">
        <v>$</v>
      </c>
    </row>
    <row r="60">
      <c r="D60" t="str">
        <v>%</v>
      </c>
    </row>
    <row r="61">
      <c r="C61" t="str">
        <v xml:space="preserve">  --- Enoch</v>
      </c>
      <c r="D61" t="str">
        <v>$</v>
      </c>
    </row>
    <row r="62">
      <c r="D62" t="str">
        <v>%</v>
      </c>
    </row>
    <row r="63">
      <c r="C63" t="str">
        <v xml:space="preserve">  --- Others</v>
      </c>
      <c r="D63" t="str">
        <v>$</v>
      </c>
    </row>
    <row r="64">
      <c r="D64" t="str">
        <v>%</v>
      </c>
    </row>
    <row r="66">
      <c r="C66" t="str">
        <v>Share Breakup</v>
      </c>
    </row>
    <row r="67">
      <c r="C67" t="str">
        <v>- Direct Deal</v>
      </c>
      <c r="D67" t="str">
        <v>%</v>
      </c>
    </row>
    <row r="68">
      <c r="C68" t="str">
        <v>- Referral</v>
      </c>
      <c r="D68" t="str">
        <v>%</v>
      </c>
    </row>
    <row r="70">
      <c r="C70" t="str">
        <v>Other income</v>
      </c>
    </row>
    <row r="71">
      <c r="C71" t="str">
        <v>Taiping Travel - 2024</v>
      </c>
    </row>
    <row r="72">
      <c r="C72" t="str">
        <v>Zurich Travel - 2023</v>
      </c>
    </row>
    <row r="73">
      <c r="C73" t="str">
        <v>Zurich Travel - 2024</v>
      </c>
    </row>
  </sheetData>
  <mergeCells count="13">
    <mergeCell ref="C59:C60"/>
    <mergeCell ref="C61:C62"/>
    <mergeCell ref="C63:C64"/>
    <mergeCell ref="K2:L2"/>
    <mergeCell ref="M2:V2"/>
    <mergeCell ref="W2:X2"/>
    <mergeCell ref="C57:C58"/>
    <mergeCell ref="C55:C56"/>
    <mergeCell ref="C51:C52"/>
    <mergeCell ref="C49:C50"/>
    <mergeCell ref="C47:C48"/>
    <mergeCell ref="C2:G2"/>
    <mergeCell ref="H2:I2"/>
  </mergeCells>
  <pageMargins left="0.7" right="0.7" top="0.75" bottom="0.75" header="0.3" footer="0.3"/>
  <ignoredErrors>
    <ignoredError numberStoredAsText="1" sqref="B1:X9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港车北上</vt:lpstr>
      <vt:lpstr>渠道单数</vt:lpstr>
      <vt:lpstr>渠道金额</vt:lpstr>
      <vt:lpstr>转化率</vt:lpstr>
      <vt:lpstr>SEM</vt:lpstr>
      <vt:lpstr>CTIA B2B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2024-10-31T08:52:01Z</dcterms:created>
  <dcterms:modified xsi:type="dcterms:W3CDTF">2026-10-17T16:26:57Z</dcterms:modified>
  <cp:lastModifiedBy>Bella Hu</cp:lastModifiedBy>
  <dc:creator>Cindy Yao</dc:creator>
</cp:coreProperties>
</file>