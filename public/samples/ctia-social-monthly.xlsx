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workbookViewId="0" rightToLeft="0"/>
  </sheetViews>
  <sheetData>
    <row r="1">
      <c r="B1" t="str">
        <v>YTD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2026-06</v>
      </c>
      <c r="I1" t="str">
        <v>2026-07</v>
      </c>
      <c r="J1" t="str">
        <v>2026-08</v>
      </c>
      <c r="K1" t="str">
        <v>2026-09</v>
      </c>
      <c r="L1" t="str">
        <v>2026-10</v>
      </c>
      <c r="M1" t="str">
        <v>2026-11</v>
      </c>
      <c r="N1" t="str">
        <v>2026-12</v>
      </c>
    </row>
    <row r="2">
      <c r="A2" t="str">
        <v>Total</v>
      </c>
    </row>
    <row r="3">
      <c r="A3" t="str">
        <v>-發送篇數</v>
      </c>
      <c r="B3">
        <v>52</v>
      </c>
      <c r="C3">
        <v>2</v>
      </c>
      <c r="D3">
        <v>7</v>
      </c>
      <c r="E3">
        <v>8</v>
      </c>
      <c r="F3">
        <v>6</v>
      </c>
      <c r="G3">
        <v>7</v>
      </c>
      <c r="H3">
        <v>6</v>
      </c>
      <c r="I3">
        <v>8</v>
      </c>
      <c r="J3">
        <v>6</v>
      </c>
      <c r="K3">
        <v>2</v>
      </c>
    </row>
    <row r="4">
      <c r="A4" t="str">
        <v>-關注人數</v>
      </c>
      <c r="B4">
        <v>393</v>
      </c>
      <c r="C4">
        <v>37</v>
      </c>
      <c r="D4">
        <v>55</v>
      </c>
      <c r="E4">
        <v>56</v>
      </c>
      <c r="F4">
        <v>26</v>
      </c>
      <c r="G4">
        <v>24</v>
      </c>
      <c r="H4">
        <v>42</v>
      </c>
      <c r="I4">
        <v>86</v>
      </c>
      <c r="J4">
        <v>51</v>
      </c>
      <c r="K4">
        <v>16</v>
      </c>
    </row>
    <row r="5">
      <c r="A5" t="str">
        <v>-閱讀/觀看量</v>
      </c>
      <c r="B5">
        <v>22445</v>
      </c>
      <c r="C5">
        <v>1010</v>
      </c>
      <c r="D5">
        <v>3214</v>
      </c>
      <c r="E5">
        <v>3952</v>
      </c>
      <c r="F5">
        <v>3624</v>
      </c>
      <c r="G5">
        <v>4239</v>
      </c>
      <c r="H5">
        <v>1964</v>
      </c>
      <c r="I5">
        <v>3163</v>
      </c>
      <c r="J5">
        <v>1194</v>
      </c>
      <c r="K5">
        <v>85</v>
      </c>
    </row>
    <row r="6">
      <c r="A6" t="str">
        <v>-喜歡/點讚量</v>
      </c>
      <c r="B6">
        <v>3395</v>
      </c>
      <c r="C6">
        <v>289</v>
      </c>
      <c r="D6">
        <v>324</v>
      </c>
      <c r="E6">
        <v>816</v>
      </c>
      <c r="F6">
        <v>118</v>
      </c>
      <c r="G6">
        <v>232</v>
      </c>
      <c r="H6">
        <v>476</v>
      </c>
      <c r="I6">
        <v>621</v>
      </c>
      <c r="J6">
        <v>486</v>
      </c>
      <c r="K6">
        <v>33</v>
      </c>
    </row>
    <row r="7">
      <c r="A7" t="str">
        <v>-收藏/推薦量</v>
      </c>
      <c r="B7">
        <v>1508</v>
      </c>
      <c r="C7">
        <v>133</v>
      </c>
      <c r="D7">
        <v>193</v>
      </c>
      <c r="E7">
        <v>296</v>
      </c>
      <c r="F7">
        <v>50</v>
      </c>
      <c r="G7">
        <v>109</v>
      </c>
      <c r="H7">
        <v>202</v>
      </c>
      <c r="I7">
        <v>303</v>
      </c>
      <c r="J7">
        <v>211</v>
      </c>
      <c r="K7">
        <v>11</v>
      </c>
    </row>
    <row r="8">
      <c r="A8" t="str">
        <v>-分享量</v>
      </c>
      <c r="B8">
        <v>405</v>
      </c>
      <c r="C8">
        <v>27</v>
      </c>
      <c r="D8">
        <v>59</v>
      </c>
      <c r="E8">
        <v>54</v>
      </c>
      <c r="F8">
        <v>45</v>
      </c>
      <c r="G8">
        <v>41</v>
      </c>
      <c r="H8">
        <v>64</v>
      </c>
      <c r="I8">
        <v>63</v>
      </c>
      <c r="J8">
        <v>48</v>
      </c>
      <c r="K8">
        <v>4</v>
      </c>
    </row>
    <row r="9">
      <c r="A9" t="str">
        <v>小紅書</v>
      </c>
    </row>
    <row r="10">
      <c r="A10" t="str">
        <v>-曝光量</v>
      </c>
      <c r="B10">
        <v>131768</v>
      </c>
      <c r="C10">
        <v>4912</v>
      </c>
      <c r="D10">
        <v>11943</v>
      </c>
      <c r="E10">
        <v>18637</v>
      </c>
      <c r="F10">
        <v>28698</v>
      </c>
      <c r="G10">
        <v>20228</v>
      </c>
      <c r="H10">
        <v>20900</v>
      </c>
      <c r="I10">
        <v>14750</v>
      </c>
      <c r="J10">
        <v>11400</v>
      </c>
      <c r="K10">
        <v>300</v>
      </c>
    </row>
    <row r="11">
      <c r="A11" t="str">
        <v>-點擊率</v>
      </c>
      <c r="B11">
        <f>19%</f>
        <v>0.19</v>
      </c>
      <c r="C11">
        <v>0.209</v>
      </c>
      <c r="D11">
        <v>0.203</v>
      </c>
      <c r="E11">
        <v>0.194</v>
      </c>
      <c r="F11">
        <v>0.1658</v>
      </c>
      <c r="G11">
        <v>0.1541</v>
      </c>
      <c r="H11">
        <v>0.197</v>
      </c>
      <c r="I11">
        <v>0.186</v>
      </c>
      <c r="J11">
        <v>0.188</v>
      </c>
      <c r="K11">
        <v>0.1</v>
      </c>
    </row>
    <row r="12">
      <c r="A12" t="str">
        <v>小红書官方號</v>
      </c>
    </row>
    <row r="13">
      <c r="A13" t="str">
        <v>-發送篇數</v>
      </c>
      <c r="B13">
        <v>20</v>
      </c>
      <c r="C13">
        <v>1</v>
      </c>
      <c r="D13">
        <v>2</v>
      </c>
      <c r="E13">
        <v>3</v>
      </c>
      <c r="F13">
        <v>2</v>
      </c>
      <c r="G13">
        <v>2</v>
      </c>
      <c r="H13">
        <v>2</v>
      </c>
      <c r="I13">
        <v>4</v>
      </c>
      <c r="J13">
        <v>3</v>
      </c>
      <c r="K13">
        <v>1</v>
      </c>
    </row>
    <row r="14">
      <c r="A14" t="str">
        <v>-關注人數</v>
      </c>
      <c r="B14">
        <v>143</v>
      </c>
      <c r="C14">
        <v>2</v>
      </c>
      <c r="D14">
        <v>2</v>
      </c>
      <c r="E14">
        <v>3</v>
      </c>
      <c r="F14">
        <v>3</v>
      </c>
      <c r="G14">
        <v>3</v>
      </c>
      <c r="H14">
        <v>20</v>
      </c>
      <c r="I14">
        <v>65</v>
      </c>
      <c r="J14">
        <v>35</v>
      </c>
      <c r="K14">
        <v>10</v>
      </c>
    </row>
    <row r="15">
      <c r="A15" t="str">
        <v>-曝光量</v>
      </c>
      <c r="B15">
        <v>11091</v>
      </c>
      <c r="C15">
        <v>674</v>
      </c>
      <c r="D15">
        <v>1349</v>
      </c>
      <c r="E15">
        <v>1686</v>
      </c>
      <c r="F15">
        <v>1132</v>
      </c>
      <c r="G15">
        <v>1200</v>
      </c>
      <c r="H15">
        <v>1000</v>
      </c>
      <c r="I15">
        <v>2250</v>
      </c>
      <c r="J15">
        <v>1500</v>
      </c>
      <c r="K15">
        <v>300</v>
      </c>
    </row>
    <row r="16">
      <c r="A16" t="str">
        <v>-觀看量</v>
      </c>
      <c r="B16">
        <v>2959</v>
      </c>
      <c r="C16">
        <v>168</v>
      </c>
      <c r="D16">
        <v>335</v>
      </c>
      <c r="E16">
        <v>419</v>
      </c>
      <c r="F16">
        <v>422</v>
      </c>
      <c r="G16">
        <v>340</v>
      </c>
      <c r="H16">
        <v>200</v>
      </c>
      <c r="I16">
        <v>600</v>
      </c>
      <c r="J16">
        <v>400</v>
      </c>
      <c r="K16">
        <v>75</v>
      </c>
    </row>
    <row r="17">
      <c r="A17" t="str">
        <v>-點擊率</v>
      </c>
      <c r="B17">
        <v>0.13339644757010188</v>
      </c>
      <c r="C17">
        <v>0.14</v>
      </c>
      <c r="D17">
        <v>0.15</v>
      </c>
      <c r="E17">
        <v>0.13</v>
      </c>
      <c r="F17">
        <v>0.1543</v>
      </c>
      <c r="G17">
        <v>0.1188</v>
      </c>
      <c r="H17">
        <v>0.12</v>
      </c>
      <c r="I17">
        <v>0.11</v>
      </c>
      <c r="J17">
        <v>0.1</v>
      </c>
      <c r="K17">
        <v>0.1</v>
      </c>
    </row>
    <row r="18">
      <c r="A18" t="str">
        <v>-喜歡</v>
      </c>
      <c r="B18">
        <v>1589</v>
      </c>
      <c r="C18">
        <v>20</v>
      </c>
      <c r="D18">
        <v>40</v>
      </c>
      <c r="E18">
        <v>540</v>
      </c>
      <c r="F18">
        <v>11</v>
      </c>
      <c r="G18">
        <v>21</v>
      </c>
      <c r="H18">
        <v>125</v>
      </c>
      <c r="I18">
        <v>450</v>
      </c>
      <c r="J18">
        <v>350</v>
      </c>
      <c r="K18">
        <v>32</v>
      </c>
    </row>
    <row r="19">
      <c r="A19" t="str">
        <v>-收藏</v>
      </c>
      <c r="B19">
        <v>661</v>
      </c>
      <c r="C19">
        <v>8</v>
      </c>
      <c r="D19">
        <v>15</v>
      </c>
      <c r="E19">
        <v>188</v>
      </c>
      <c r="F19">
        <v>2</v>
      </c>
      <c r="G19">
        <v>13</v>
      </c>
      <c r="H19">
        <v>50</v>
      </c>
      <c r="I19">
        <v>225</v>
      </c>
      <c r="J19">
        <v>150</v>
      </c>
      <c r="K19">
        <v>10</v>
      </c>
    </row>
    <row r="20">
      <c r="A20" t="str">
        <v>-分享</v>
      </c>
      <c r="B20">
        <v>131</v>
      </c>
      <c r="C20">
        <v>2</v>
      </c>
      <c r="D20">
        <v>4</v>
      </c>
      <c r="E20">
        <v>25</v>
      </c>
      <c r="F20">
        <v>7</v>
      </c>
      <c r="G20">
        <v>7</v>
      </c>
      <c r="H20">
        <v>13</v>
      </c>
      <c r="I20">
        <v>40</v>
      </c>
      <c r="J20">
        <v>30</v>
      </c>
      <c r="K20">
        <v>3</v>
      </c>
    </row>
    <row r="21">
      <c r="A21" t="str">
        <v>小红書矩陣號</v>
      </c>
    </row>
    <row r="22">
      <c r="A22" t="str">
        <v>-發送篇數</v>
      </c>
      <c r="B22">
        <v>22</v>
      </c>
      <c r="C22">
        <v>1</v>
      </c>
      <c r="D22">
        <v>3</v>
      </c>
      <c r="E22">
        <v>4</v>
      </c>
      <c r="F22">
        <v>4</v>
      </c>
      <c r="G22">
        <v>3</v>
      </c>
      <c r="H22">
        <v>3</v>
      </c>
      <c r="I22">
        <v>2</v>
      </c>
      <c r="J22">
        <v>2</v>
      </c>
      <c r="K22">
        <v>0</v>
      </c>
    </row>
    <row r="23">
      <c r="A23" t="str">
        <v>-關注人數</v>
      </c>
      <c r="B23">
        <v>195</v>
      </c>
      <c r="C23">
        <v>35</v>
      </c>
      <c r="D23">
        <v>40</v>
      </c>
      <c r="E23">
        <v>45</v>
      </c>
      <c r="F23">
        <v>20</v>
      </c>
      <c r="G23">
        <v>14</v>
      </c>
      <c r="H23">
        <v>17</v>
      </c>
      <c r="I23">
        <v>11</v>
      </c>
      <c r="J23">
        <v>10</v>
      </c>
      <c r="K23">
        <v>3</v>
      </c>
    </row>
    <row r="24">
      <c r="A24" t="str">
        <v>-曝光量</v>
      </c>
      <c r="B24">
        <v>113373</v>
      </c>
      <c r="C24">
        <v>4238</v>
      </c>
      <c r="D24">
        <v>10595</v>
      </c>
      <c r="E24">
        <v>16951</v>
      </c>
      <c r="F24">
        <v>27566</v>
      </c>
      <c r="G24">
        <v>19023</v>
      </c>
      <c r="H24">
        <v>15000</v>
      </c>
      <c r="I24">
        <v>12500</v>
      </c>
      <c r="J24">
        <v>7500</v>
      </c>
      <c r="K24">
        <v>0</v>
      </c>
    </row>
    <row r="25">
      <c r="A25" t="str">
        <v>-觀看量</v>
      </c>
      <c r="B25">
        <v>18025</v>
      </c>
      <c r="C25">
        <v>842</v>
      </c>
      <c r="D25">
        <v>2104</v>
      </c>
      <c r="E25">
        <v>3367</v>
      </c>
      <c r="F25">
        <v>3202</v>
      </c>
      <c r="G25">
        <v>3760</v>
      </c>
      <c r="H25">
        <v>1500</v>
      </c>
      <c r="I25">
        <v>2500</v>
      </c>
      <c r="J25">
        <v>750</v>
      </c>
      <c r="K25">
        <v>0</v>
      </c>
    </row>
    <row r="26">
      <c r="A26" t="str">
        <v>-點擊率</v>
      </c>
      <c r="B26">
        <v>0.15898847168197014</v>
      </c>
      <c r="C26">
        <v>0.22</v>
      </c>
      <c r="D26">
        <v>0.21</v>
      </c>
      <c r="E26">
        <v>0.2</v>
      </c>
      <c r="F26">
        <v>0.1773</v>
      </c>
      <c r="G26">
        <v>0.1895</v>
      </c>
      <c r="H26">
        <v>0.2</v>
      </c>
      <c r="I26">
        <v>0.2</v>
      </c>
      <c r="J26">
        <v>0.2</v>
      </c>
      <c r="K26">
        <v>0</v>
      </c>
    </row>
    <row r="27">
      <c r="A27" t="str">
        <v>-喜歡</v>
      </c>
      <c r="B27">
        <v>1757</v>
      </c>
      <c r="C27">
        <v>269</v>
      </c>
      <c r="D27">
        <v>259</v>
      </c>
      <c r="E27">
        <v>269</v>
      </c>
      <c r="F27">
        <v>107</v>
      </c>
      <c r="G27">
        <v>207</v>
      </c>
      <c r="H27">
        <v>346</v>
      </c>
      <c r="I27">
        <v>167</v>
      </c>
      <c r="J27">
        <v>133</v>
      </c>
      <c r="K27">
        <v>0</v>
      </c>
    </row>
    <row r="28">
      <c r="A28" t="str">
        <v>-收藏</v>
      </c>
      <c r="B28">
        <v>820</v>
      </c>
      <c r="C28">
        <v>125</v>
      </c>
      <c r="D28">
        <v>166</v>
      </c>
      <c r="E28">
        <v>103</v>
      </c>
      <c r="F28">
        <v>48</v>
      </c>
      <c r="G28">
        <v>93</v>
      </c>
      <c r="H28">
        <v>150</v>
      </c>
      <c r="I28">
        <v>75</v>
      </c>
      <c r="J28">
        <v>60</v>
      </c>
      <c r="K28">
        <v>0</v>
      </c>
    </row>
    <row r="29">
      <c r="A29" t="str">
        <v>-分享</v>
      </c>
      <c r="B29">
        <v>198</v>
      </c>
      <c r="C29">
        <v>25</v>
      </c>
      <c r="D29">
        <v>12</v>
      </c>
      <c r="E29">
        <v>19</v>
      </c>
      <c r="F29">
        <v>38</v>
      </c>
      <c r="G29">
        <v>29</v>
      </c>
      <c r="H29">
        <v>40</v>
      </c>
      <c r="I29">
        <v>20</v>
      </c>
      <c r="J29">
        <v>15</v>
      </c>
      <c r="K29">
        <v>0</v>
      </c>
    </row>
    <row r="30">
      <c r="A30" t="str">
        <v>微信公眾號官方號</v>
      </c>
    </row>
    <row r="31">
      <c r="A31" t="str">
        <v>-發送篇數</v>
      </c>
      <c r="B31">
        <v>10</v>
      </c>
      <c r="C31">
        <v>0</v>
      </c>
      <c r="D31">
        <v>2</v>
      </c>
      <c r="E31">
        <v>1</v>
      </c>
      <c r="F31">
        <v>0</v>
      </c>
      <c r="G31">
        <v>2</v>
      </c>
      <c r="H31">
        <v>1</v>
      </c>
      <c r="I31">
        <v>2</v>
      </c>
      <c r="J31">
        <v>1</v>
      </c>
      <c r="K31">
        <v>1</v>
      </c>
    </row>
    <row r="32">
      <c r="A32" t="str">
        <v>-關注人數</v>
      </c>
      <c r="B32">
        <v>55</v>
      </c>
      <c r="C32">
        <v>0</v>
      </c>
      <c r="D32">
        <v>13</v>
      </c>
      <c r="E32">
        <v>8</v>
      </c>
      <c r="F32">
        <v>3</v>
      </c>
      <c r="G32">
        <v>7</v>
      </c>
      <c r="H32">
        <v>5</v>
      </c>
      <c r="I32">
        <v>10</v>
      </c>
      <c r="J32">
        <v>6</v>
      </c>
      <c r="K32">
        <v>3</v>
      </c>
    </row>
    <row r="33">
      <c r="A33" t="str">
        <v>-閱讀量</v>
      </c>
      <c r="B33">
        <v>1461</v>
      </c>
      <c r="C33">
        <v>0</v>
      </c>
      <c r="D33">
        <v>775</v>
      </c>
      <c r="E33">
        <v>166</v>
      </c>
      <c r="F33">
        <v>0</v>
      </c>
      <c r="G33">
        <v>139</v>
      </c>
      <c r="H33">
        <v>264</v>
      </c>
      <c r="I33">
        <v>63</v>
      </c>
      <c r="J33">
        <v>44</v>
      </c>
      <c r="K33">
        <v>10</v>
      </c>
    </row>
    <row r="34">
      <c r="A34" t="str">
        <v>-點讚</v>
      </c>
      <c r="B34">
        <v>49</v>
      </c>
      <c r="C34">
        <v>0</v>
      </c>
      <c r="D34">
        <v>25</v>
      </c>
      <c r="E34">
        <v>7</v>
      </c>
      <c r="F34">
        <v>0</v>
      </c>
      <c r="G34">
        <v>4</v>
      </c>
      <c r="H34">
        <v>5</v>
      </c>
      <c r="I34">
        <v>4</v>
      </c>
      <c r="J34">
        <v>3</v>
      </c>
      <c r="K34">
        <v>1</v>
      </c>
    </row>
    <row r="35">
      <c r="A35" t="str">
        <v>-推薦</v>
      </c>
      <c r="B35">
        <v>27</v>
      </c>
      <c r="C35">
        <v>0</v>
      </c>
      <c r="D35">
        <v>12</v>
      </c>
      <c r="E35">
        <v>5</v>
      </c>
      <c r="F35">
        <v>0</v>
      </c>
      <c r="G35">
        <v>3</v>
      </c>
      <c r="H35">
        <v>2</v>
      </c>
      <c r="I35">
        <v>3</v>
      </c>
      <c r="J35">
        <v>1</v>
      </c>
      <c r="K35">
        <v>1</v>
      </c>
    </row>
    <row r="36">
      <c r="A36" t="str">
        <v>-分享</v>
      </c>
      <c r="B36">
        <v>76</v>
      </c>
      <c r="C36">
        <v>0</v>
      </c>
      <c r="D36">
        <v>43</v>
      </c>
      <c r="E36">
        <v>10</v>
      </c>
      <c r="F36">
        <v>0</v>
      </c>
      <c r="G36">
        <v>5</v>
      </c>
      <c r="H36">
        <v>11</v>
      </c>
      <c r="I36">
        <v>3</v>
      </c>
      <c r="J36">
        <v>3</v>
      </c>
      <c r="K36">
        <v>1</v>
      </c>
    </row>
  </sheetData>
  <pageMargins left="0.7" right="0.7" top="0.75" bottom="0.75" header="0.3" footer="0.3"/>
  <ignoredErrors>
    <ignoredError numberStoredAsText="1" sqref="A1:N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2026-10-13T09:29:27Z</dcterms:created>
  <dcterms:modified xsi:type="dcterms:W3CDTF">2026-10-13T14:01:25Z</dcterms:modified>
  <cp:lastModifiedBy>Bella Hu</cp:lastModifiedBy>
  <dc:creator>Bella Hu</dc:creator>
</cp:coreProperties>
</file>